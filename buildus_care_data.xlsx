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lection_map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ustomers_private" sheetId="4" state="visible" r:id="rId4"/>
    <sheet xmlns:r="http://schemas.openxmlformats.org/officeDocument/2006/relationships" name="homes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quotes" sheetId="7" state="visible" r:id="rId7"/>
    <sheet xmlns:r="http://schemas.openxmlformats.org/officeDocument/2006/relationships" name="payments" sheetId="8" state="visible" r:id="rId8"/>
    <sheet xmlns:r="http://schemas.openxmlformats.org/officeDocument/2006/relationships" name="reservations" sheetId="9" state="visible" r:id="rId9"/>
    <sheet xmlns:r="http://schemas.openxmlformats.org/officeDocument/2006/relationships" name="jobs" sheetId="10" state="visible" r:id="rId10"/>
    <sheet xmlns:r="http://schemas.openxmlformats.org/officeDocument/2006/relationships" name="media" sheetId="11" state="visible" r:id="rId11"/>
    <sheet xmlns:r="http://schemas.openxmlformats.org/officeDocument/2006/relationships" name="inspections" sheetId="12" state="visible" r:id="rId12"/>
    <sheet xmlns:r="http://schemas.openxmlformats.org/officeDocument/2006/relationships" name="feedbacks" sheetId="13" state="visible" r:id="rId13"/>
    <sheet xmlns:r="http://schemas.openxmlformats.org/officeDocument/2006/relationships" name="warranty_cases" sheetId="14" state="visible" r:id="rId14"/>
    <sheet xmlns:r="http://schemas.openxmlformats.org/officeDocument/2006/relationships" name="notification_queue" sheetId="15" state="visible" r:id="rId15"/>
    <sheet xmlns:r="http://schemas.openxmlformats.org/officeDocument/2006/relationships" name="events" sheetId="16" state="visible" r:id="rId16"/>
    <sheet xmlns:r="http://schemas.openxmlformats.org/officeDocument/2006/relationships" name="sessions" sheetId="17" state="visible" r:id="rId17"/>
    <sheet xmlns:r="http://schemas.openxmlformats.org/officeDocument/2006/relationships" name="materials" sheetId="18" state="visible" r:id="rId18"/>
    <sheet xmlns:r="http://schemas.openxmlformats.org/officeDocument/2006/relationships" name="technicians" sheetId="19" state="visible" r:id="rId19"/>
    <sheet xmlns:r="http://schemas.openxmlformats.org/officeDocument/2006/relationships" name="dim_services" sheetId="20" state="visible" r:id="rId20"/>
    <sheet xmlns:r="http://schemas.openxmlformats.org/officeDocument/2006/relationships" name="dim_channels" sheetId="21" state="visible" r:id="rId21"/>
    <sheet xmlns:r="http://schemas.openxmlformats.org/officeDocument/2006/relationships" name="dim_campaigns" sheetId="22" state="visible" r:id="rId22"/>
    <sheet xmlns:r="http://schemas.openxmlformats.org/officeDocument/2006/relationships" name="dim_regions" sheetId="23" state="visible" r:id="rId23"/>
    <sheet xmlns:r="http://schemas.openxmlformats.org/officeDocument/2006/relationships" name="dim_photo_angles" sheetId="24" state="visible" r:id="rId24"/>
    <sheet xmlns:r="http://schemas.openxmlformats.org/officeDocument/2006/relationships" name="dashboar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735F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35F"/>
      </patternFill>
    </fill>
  </fills>
  <borders count="2">
    <border>
      <left/>
      <right/>
      <top/>
      <bottom/>
      <diagonal/>
    </border>
    <border>
      <bottom style="thin">
        <color rgb="00D9DE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tbl_collection_map" displayName="tbl_collection_map" ref="A1:H10" headerRowCount="1">
  <autoFilter ref="A1:H10"/>
  <tableColumns count="8">
    <tableColumn id="1" name="stage"/>
    <tableColumn id="2" name="priority"/>
    <tableColumn id="3" name="domain"/>
    <tableColumn id="4" name="table"/>
    <tableColumn id="5" name="field_group"/>
    <tableColumn id="6" name="collection_point"/>
    <tableColumn id="7" name="current_app_status"/>
    <tableColumn id="8" name="not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_data_dictionary" displayName="tbl_data_dictionary" ref="A1:H14" headerRowCount="1">
  <autoFilter ref="A1:H14"/>
  <tableColumns count="8">
    <tableColumn id="1" name="table"/>
    <tableColumn id="2" name="field"/>
    <tableColumn id="3" name="type"/>
    <tableColumn id="4" name="required"/>
    <tableColumn id="5" name="pii"/>
    <tableColumn id="6" name="priority"/>
    <tableColumn id="7" name="source"/>
    <tableColumn id="8" name="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customers_private" displayName="tbl_customers_private" ref="A1:I2" headerRowCount="1">
  <autoFilter ref="A1:I2"/>
  <tableColumns count="9">
    <tableColumn id="1" name="customer_id"/>
    <tableColumn id="2" name="created_at"/>
    <tableColumn id="3" name="name"/>
    <tableColumn id="4" name="phone"/>
    <tableColumn id="5" name="kakao_notice_consent"/>
    <tableColumn id="6" name="acquisition_source"/>
    <tableColumn id="7" name="first_contact_at"/>
    <tableColumn id="8" name="retention_until"/>
    <tableColumn id="9" name="access_level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homes" displayName="tbl_homes" ref="A1:M2" headerRowCount="1">
  <autoFilter ref="A1:M2"/>
  <tableColumns count="13">
    <tableColumn id="1" name="home_id"/>
    <tableColumn id="2" name="customer_id"/>
    <tableColumn id="3" name="address_full"/>
    <tableColumn id="4" name="address_dong"/>
    <tableColumn id="5" name="address_apt"/>
    <tableColumn id="6" name="postal_code"/>
    <tableColumn id="7" name="housing_type"/>
    <tableColumn id="8" name="building_type"/>
    <tableColumn id="9" name="size_pyung"/>
    <tableColumn id="10" name="year_built"/>
    <tableColumn id="11" name="floor"/>
    <tableColumn id="12" name="has_kids"/>
    <tableColumn id="13" name="has_elderly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orders" displayName="tbl_orders" ref="A1:P2" headerRowCount="1">
  <autoFilter ref="A1:P2"/>
  <tableColumns count="16">
    <tableColumn id="1" name="order_id"/>
    <tableColumn id="2" name="order_number"/>
    <tableColumn id="3" name="customer_id"/>
    <tableColumn id="4" name="home_id"/>
    <tableColumn id="5" name="created_at"/>
    <tableColumn id="6" name="channel"/>
    <tableColumn id="7" name="source"/>
    <tableColumn id="8" name="campaign"/>
    <tableColumn id="9" name="service_code"/>
    <tableColumn id="10" name="skus"/>
    <tableColumn id="11" name="reason"/>
    <tableColumn id="12" name="urgency"/>
    <tableColumn id="13" name="self_diagnosis"/>
    <tableColumn id="14" name="status"/>
    <tableColumn id="15" name="total_amount"/>
    <tableColumn id="16" name="access_token_issue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_quotes" displayName="tbl_quotes" ref="A1:K2" headerRowCount="1">
  <autoFilter ref="A1:K2"/>
  <tableColumns count="11">
    <tableColumn id="1" name="quote_id"/>
    <tableColumn id="2" name="order_id"/>
    <tableColumn id="3" name="created_at"/>
    <tableColumn id="4" name="service_code"/>
    <tableColumn id="5" name="base_amount"/>
    <tableColumn id="6" name="materials_amount"/>
    <tableColumn id="7" name="addon_amount"/>
    <tableColumn id="8" name="discount_amount"/>
    <tableColumn id="9" name="final_amount"/>
    <tableColumn id="10" name="accepted_at"/>
    <tableColumn id="11" name="quote_statu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_payments" displayName="tbl_payments" ref="A1:K2" headerRowCount="1">
  <autoFilter ref="A1:K2"/>
  <tableColumns count="11">
    <tableColumn id="1" name="payment_id"/>
    <tableColumn id="2" name="order_id"/>
    <tableColumn id="3" name="quote_id"/>
    <tableColumn id="4" name="provider"/>
    <tableColumn id="5" name="payment_key"/>
    <tableColumn id="6" name="method"/>
    <tableColumn id="7" name="amount"/>
    <tableColumn id="8" name="status"/>
    <tableColumn id="9" name="paid_at"/>
    <tableColumn id="10" name="refund_amount"/>
    <tableColumn id="11" name="provider_statu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_reservations" displayName="tbl_reservations" ref="A1:H2" headerRowCount="1">
  <autoFilter ref="A1:H2"/>
  <tableColumns count="8">
    <tableColumn id="1" name="reservation_id"/>
    <tableColumn id="2" name="order_id"/>
    <tableColumn id="3" name="reserved_date"/>
    <tableColumn id="4" name="time_slot"/>
    <tableColumn id="5" name="status"/>
    <tableColumn id="6" name="created_at"/>
    <tableColumn id="7" name="rescheduled_count"/>
    <tableColumn id="8" name="memo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bl_jobs" displayName="tbl_jobs" ref="A1:M2" headerRowCount="1">
  <autoFilter ref="A1:M2"/>
  <tableColumns count="13">
    <tableColumn id="1" name="job_id"/>
    <tableColumn id="2" name="order_id"/>
    <tableColumn id="3" name="technician_id"/>
    <tableColumn id="4" name="scheduled_at"/>
    <tableColumn id="5" name="started_at"/>
    <tableColumn id="6" name="ended_at"/>
    <tableColumn id="7" name="status"/>
    <tableColumn id="8" name="expected_minutes"/>
    <tableColumn id="9" name="actual_minutes"/>
    <tableColumn id="10" name="materials_used"/>
    <tableColumn id="11" name="extra_materials"/>
    <tableColumn id="12" name="issues"/>
    <tableColumn id="13" name="completion_notes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bl_media" displayName="tbl_media" ref="A1:L4" headerRowCount="1">
  <autoFilter ref="A1:L4"/>
  <tableColumns count="12">
    <tableColumn id="1" name="media_id"/>
    <tableColumn id="2" name="order_id"/>
    <tableColumn id="3" name="job_id"/>
    <tableColumn id="4" name="created_at"/>
    <tableColumn id="5" name="type"/>
    <tableColumn id="6" name="angle"/>
    <tableColumn id="7" name="file_path"/>
    <tableColumn id="8" name="url"/>
    <tableColumn id="9" name="tags"/>
    <tableColumn id="10" name="sort_order"/>
    <tableColumn id="11" name="ai_detected"/>
    <tableColumn id="12" name="exif_removed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tbl_inspections" displayName="tbl_inspections" ref="A1:G2" headerRowCount="1">
  <autoFilter ref="A1:G2"/>
  <tableColumns count="7">
    <tableColumn id="1" name="inspection_id"/>
    <tableColumn id="2" name="job_id"/>
    <tableColumn id="3" name="order_id"/>
    <tableColumn id="4" name="created_at"/>
    <tableColumn id="5" name="passed"/>
    <tableColumn id="6" name="checklist_results"/>
    <tableColumn id="7" name="inspector_note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_feedbacks" displayName="tbl_feedbacks" ref="A1:H2" headerRowCount="1">
  <autoFilter ref="A1:H2"/>
  <tableColumns count="8">
    <tableColumn id="1" name="feedback_id"/>
    <tableColumn id="2" name="order_id"/>
    <tableColumn id="3" name="customer_id"/>
    <tableColumn id="4" name="created_at"/>
    <tableColumn id="5" name="nps"/>
    <tableColumn id="6" name="rating"/>
    <tableColumn id="7" name="comment"/>
    <tableColumn id="8" name="public_review_agreed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_warranty_cases" displayName="tbl_warranty_cases" ref="A1:J2" headerRowCount="1">
  <autoFilter ref="A1:J2"/>
  <tableColumns count="10">
    <tableColumn id="1" name="warranty_id"/>
    <tableColumn id="2" name="order_id"/>
    <tableColumn id="3" name="job_id"/>
    <tableColumn id="4" name="created_at"/>
    <tableColumn id="5" name="issue_type"/>
    <tableColumn id="6" name="description"/>
    <tableColumn id="7" name="responsibility"/>
    <tableColumn id="8" name="status"/>
    <tableColumn id="9" name="resolved_at"/>
    <tableColumn id="10" name="resolution_note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bl_notification_queue" displayName="tbl_notification_queue" ref="A1:I2" headerRowCount="1">
  <autoFilter ref="A1:I2"/>
  <tableColumns count="9">
    <tableColumn id="1" name="notification_id"/>
    <tableColumn id="2" name="order_id"/>
    <tableColumn id="3" name="customer_id"/>
    <tableColumn id="4" name="channel"/>
    <tableColumn id="5" name="template_key"/>
    <tableColumn id="6" name="scheduled_at"/>
    <tableColumn id="7" name="sent_at"/>
    <tableColumn id="8" name="status"/>
    <tableColumn id="9" name="error_message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tbl_events" displayName="tbl_events" ref="A1:L2" headerRowCount="1">
  <autoFilter ref="A1:L2"/>
  <tableColumns count="12">
    <tableColumn id="1" name="event_id"/>
    <tableColumn id="2" name="occurred_at"/>
    <tableColumn id="3" name="session_id"/>
    <tableColumn id="4" name="customer_id"/>
    <tableColumn id="5" name="order_id"/>
    <tableColumn id="6" name="event_type"/>
    <tableColumn id="7" name="source"/>
    <tableColumn id="8" name="campaign"/>
    <tableColumn id="9" name="landing_path"/>
    <tableColumn id="10" name="device_type"/>
    <tableColumn id="11" name="service_code"/>
    <tableColumn id="12" name="properties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tbl_sessions" displayName="tbl_sessions" ref="A1:L2" headerRowCount="1">
  <autoFilter ref="A1:L2"/>
  <tableColumns count="12">
    <tableColumn id="1" name="session_id"/>
    <tableColumn id="2" name="first_event_time"/>
    <tableColumn id="3" name="last_event_time"/>
    <tableColumn id="4" name="source"/>
    <tableColumn id="5" name="campaign"/>
    <tableColumn id="6" name="landing_path"/>
    <tableColumn id="7" name="device_type"/>
    <tableColumn id="8" name="region_hint"/>
    <tableColumn id="9" name="order_id"/>
    <tableColumn id="10" name="utm_source"/>
    <tableColumn id="11" name="utm_campaign"/>
    <tableColumn id="12" name="referrer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tbl_materials" displayName="tbl_materials" ref="A1:H2" headerRowCount="1">
  <autoFilter ref="A1:H2"/>
  <tableColumns count="8">
    <tableColumn id="1" name="sku"/>
    <tableColumn id="2" name="name"/>
    <tableColumn id="3" name="category"/>
    <tableColumn id="4" name="grade"/>
    <tableColumn id="5" name="retail_price"/>
    <tableColumn id="6" name="cost_price"/>
    <tableColumn id="7" name="is_active"/>
    <tableColumn id="8" name="default_service_code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tbl_technicians" displayName="tbl_technicians" ref="A1:J2" headerRowCount="1">
  <autoFilter ref="A1:J2"/>
  <tableColumns count="10">
    <tableColumn id="1" name="technician_id"/>
    <tableColumn id="2" name="name_masked"/>
    <tableColumn id="3" name="phone_masked"/>
    <tableColumn id="4" name="region"/>
    <tableColumn id="5" name="type"/>
    <tableColumn id="6" name="grade"/>
    <tableColumn id="7" name="skills"/>
    <tableColumn id="8" name="avg_nps"/>
    <tableColumn id="9" name="pass_rate"/>
    <tableColumn id="10" name="is_active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tbl_dim_services" displayName="tbl_dim_services" ref="A1:D4" headerRowCount="1">
  <autoFilter ref="A1:D4"/>
  <tableColumns count="4">
    <tableColumn id="1" name="code"/>
    <tableColumn id="2" name="name"/>
    <tableColumn id="3" name="standardizable"/>
    <tableColumn id="4" name="description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tbl_dim_channels" displayName="tbl_dim_channels" ref="A1:C6" headerRowCount="1">
  <autoFilter ref="A1:C6"/>
  <tableColumns count="3">
    <tableColumn id="1" name="code"/>
    <tableColumn id="2" name="name"/>
    <tableColumn id="3" name="description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_dim_campaigns" displayName="tbl_dim_campaigns" ref="A1:C3" headerRowCount="1">
  <autoFilter ref="A1:C3"/>
  <tableColumns count="3">
    <tableColumn id="1" name="code"/>
    <tableColumn id="2" name="name"/>
    <tableColumn id="3" name="description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_dim_regions" displayName="tbl_dim_regions" ref="A1:C3" headerRowCount="1">
  <autoFilter ref="A1:C3"/>
  <tableColumns count="3">
    <tableColumn id="1" name="code"/>
    <tableColumn id="2" name="name"/>
    <tableColumn id="3" name="description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_dim_photo_angles" displayName="tbl_dim_photo_angles" ref="A1:D9" headerRowCount="1">
  <autoFilter ref="A1:D9"/>
  <tableColumns count="4">
    <tableColumn id="1" name="angle"/>
    <tableColumn id="2" name="label"/>
    <tableColumn id="3" name="owner"/>
    <tableColumn id="4" name="descrip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buildus care 데이터 수집 워크북</t>
        </is>
      </c>
      <c r="B1" s="2" t="inlineStr">
        <is>
          <t>2026-05-18 기준</t>
        </is>
      </c>
    </row>
    <row r="2">
      <c r="A2" s="3" t="inlineStr">
        <is>
          <t>목적</t>
        </is>
      </c>
      <c r="B2" s="3" t="inlineStr">
        <is>
          <t>광고/퍼널만 보던 파일을 고객-주거-주문-견적-결제-예약-현장-사진-검수-A/S까지 이어지는 운영 데이터셋으로 재정리</t>
        </is>
      </c>
    </row>
    <row r="3">
      <c r="A3" s="3" t="inlineStr">
        <is>
          <t>수집 원칙</t>
        </is>
      </c>
      <c r="B3" s="3" t="inlineStr">
        <is>
          <t>PII 분리, 단계별 최소 수집, 사진 표준 컷, 현장 기사 부담 최소화, 이벤트 로그와 운영 테이블 분리</t>
        </is>
      </c>
    </row>
    <row r="4">
      <c r="A4" s="3" t="inlineStr">
        <is>
          <t>P0 우선</t>
        </is>
      </c>
      <c r="B4" s="3" t="inlineStr">
        <is>
          <t>customers_private, homes, orders, quotes, payments, reservations, jobs, media, events, sessions</t>
        </is>
      </c>
    </row>
    <row r="5">
      <c r="A5" s="3" t="inlineStr">
        <is>
          <t>P1 확장</t>
        </is>
      </c>
      <c r="B5" s="3" t="inlineStr">
        <is>
          <t>inspections, feedbacks, warranty_cases, notification_queue, materials, technicians</t>
        </is>
      </c>
    </row>
    <row r="6">
      <c r="A6" s="3" t="inlineStr">
        <is>
          <t>사용 방식</t>
        </is>
      </c>
      <c r="B6" s="3" t="inlineStr">
        <is>
          <t>실제 서비스 DB와 동일한 키를 유지하고, 개인정보 시트는 접근 제한/암호화 대상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6" customWidth="1" min="5" max="5"/>
    <col width="24" customWidth="1" min="6" max="6"/>
    <col width="16" customWidth="1" min="7" max="7"/>
    <col width="50" customWidth="1" min="8" max="8"/>
  </cols>
  <sheetData>
    <row r="1">
      <c r="A1" s="4" t="inlineStr">
        <is>
          <t>stage</t>
        </is>
      </c>
      <c r="B1" s="4" t="inlineStr">
        <is>
          <t>priority</t>
        </is>
      </c>
      <c r="C1" s="4" t="inlineStr">
        <is>
          <t>domain</t>
        </is>
      </c>
      <c r="D1" s="4" t="inlineStr">
        <is>
          <t>table</t>
        </is>
      </c>
      <c r="E1" s="4" t="inlineStr">
        <is>
          <t>field_group</t>
        </is>
      </c>
      <c r="F1" s="4" t="inlineStr">
        <is>
          <t>collection_point</t>
        </is>
      </c>
      <c r="G1" s="4" t="inlineStr">
        <is>
          <t>current_app_status</t>
        </is>
      </c>
      <c r="H1" s="4" t="inlineStr">
        <is>
          <t>note</t>
        </is>
      </c>
    </row>
    <row r="2">
      <c r="A2" s="3" t="inlineStr">
        <is>
          <t>Stage 0</t>
        </is>
      </c>
      <c r="B2" s="3" t="inlineStr">
        <is>
          <t>P0</t>
        </is>
      </c>
      <c r="C2" s="3" t="inlineStr">
        <is>
          <t>고객/PII</t>
        </is>
      </c>
      <c r="D2" s="3" t="inlineStr">
        <is>
          <t>customers_private</t>
        </is>
      </c>
      <c r="E2" s="3" t="inlineStr">
        <is>
          <t>이름/전화/카톡동의</t>
        </is>
      </c>
      <c r="F2" s="3" t="inlineStr">
        <is>
          <t>사진판정/견적/주문</t>
        </is>
      </c>
      <c r="G2" s="3" t="inlineStr">
        <is>
          <t>부분 구현</t>
        </is>
      </c>
      <c r="H2" s="3" t="inlineStr">
        <is>
          <t>넓은 관리자 화면은 마스킹, 상세/처리 화면만 원문 접근</t>
        </is>
      </c>
    </row>
    <row r="3">
      <c r="A3" s="3" t="inlineStr">
        <is>
          <t>Stage 0</t>
        </is>
      </c>
      <c r="B3" s="3" t="inlineStr">
        <is>
          <t>P0</t>
        </is>
      </c>
      <c r="C3" s="3" t="inlineStr">
        <is>
          <t>주거 정보</t>
        </is>
      </c>
      <c r="D3" s="3" t="inlineStr">
        <is>
          <t>homes</t>
        </is>
      </c>
      <c r="E3" s="3" t="inlineStr">
        <is>
          <t>주소/동/아파트/주거형태/평수</t>
        </is>
      </c>
      <c r="F3" s="3" t="inlineStr">
        <is>
          <t>결제 전 주문 단계</t>
        </is>
      </c>
      <c r="G3" s="3" t="inlineStr">
        <is>
          <t>구현</t>
        </is>
      </c>
      <c r="H3" s="3" t="inlineStr">
        <is>
          <t>견적만 볼 때는 최소화, 결제/예약 진행 시 필수</t>
        </is>
      </c>
    </row>
    <row r="4">
      <c r="A4" s="3" t="inlineStr">
        <is>
          <t>Stage 0</t>
        </is>
      </c>
      <c r="B4" s="3" t="inlineStr">
        <is>
          <t>P0</t>
        </is>
      </c>
      <c r="C4" s="3" t="inlineStr">
        <is>
          <t>주문</t>
        </is>
      </c>
      <c r="D4" s="3" t="inlineStr">
        <is>
          <t>orders</t>
        </is>
      </c>
      <c r="E4" s="3" t="inlineStr">
        <is>
          <t>서비스/사유/긴급도/상태/채널</t>
        </is>
      </c>
      <c r="F4" s="3" t="inlineStr">
        <is>
          <t>견적 생성</t>
        </is>
      </c>
      <c r="G4" s="3" t="inlineStr">
        <is>
          <t>구현</t>
        </is>
      </c>
      <c r="H4" s="3" t="inlineStr">
        <is>
          <t>service_code는 underscore 규칙 사용</t>
        </is>
      </c>
    </row>
    <row r="5">
      <c r="A5" s="3" t="inlineStr">
        <is>
          <t>Stage 0</t>
        </is>
      </c>
      <c r="B5" s="3" t="inlineStr">
        <is>
          <t>P0</t>
        </is>
      </c>
      <c r="C5" s="3" t="inlineStr">
        <is>
          <t>견적/결제</t>
        </is>
      </c>
      <c r="D5" s="3" t="inlineStr">
        <is>
          <t>quotes/payments</t>
        </is>
      </c>
      <c r="E5" s="3" t="inlineStr">
        <is>
          <t>견적금액/옵션/결제상태</t>
        </is>
      </c>
      <c r="F5" s="3" t="inlineStr">
        <is>
          <t>견적/토스결제</t>
        </is>
      </c>
      <c r="G5" s="3" t="inlineStr">
        <is>
          <t>구현</t>
        </is>
      </c>
      <c r="H5" s="3" t="inlineStr">
        <is>
          <t>카드 정보 저장 금지</t>
        </is>
      </c>
    </row>
    <row r="6">
      <c r="A6" s="3" t="inlineStr">
        <is>
          <t>Stage 0</t>
        </is>
      </c>
      <c r="B6" s="3" t="inlineStr">
        <is>
          <t>P0</t>
        </is>
      </c>
      <c r="C6" s="3" t="inlineStr">
        <is>
          <t>예약/현장</t>
        </is>
      </c>
      <c r="D6" s="3" t="inlineStr">
        <is>
          <t>reservations/jobs</t>
        </is>
      </c>
      <c r="E6" s="3" t="inlineStr">
        <is>
          <t>방문일/시간/기사/상태</t>
        </is>
      </c>
      <c r="F6" s="3" t="inlineStr">
        <is>
          <t>결제 후 예약/관리자 배정</t>
        </is>
      </c>
      <c r="G6" s="3" t="inlineStr">
        <is>
          <t>구현</t>
        </is>
      </c>
      <c r="H6" s="3" t="inlineStr">
        <is>
          <t>기사 PII는 방문 전 필요한 범위만 노출</t>
        </is>
      </c>
    </row>
    <row r="7">
      <c r="A7" s="3" t="inlineStr">
        <is>
          <t>Stage 1</t>
        </is>
      </c>
      <c r="B7" s="3" t="inlineStr">
        <is>
          <t>P1</t>
        </is>
      </c>
      <c r="C7" s="3" t="inlineStr">
        <is>
          <t>사진</t>
        </is>
      </c>
      <c r="D7" s="3" t="inlineStr">
        <is>
          <t>media</t>
        </is>
      </c>
      <c r="E7" s="3" t="inlineStr">
        <is>
          <t>표준 컷/각도/태그</t>
        </is>
      </c>
      <c r="F7" s="3" t="inlineStr">
        <is>
          <t>사진판정/현장사진</t>
        </is>
      </c>
      <c r="G7" s="3" t="inlineStr">
        <is>
          <t>보강 완료</t>
        </is>
      </c>
      <c r="H7" s="3" t="inlineStr">
        <is>
          <t>고객: wide/close/context, 현장: before/during/after/material/issue</t>
        </is>
      </c>
    </row>
    <row r="8">
      <c r="A8" s="3" t="inlineStr">
        <is>
          <t>Stage 1</t>
        </is>
      </c>
      <c r="B8" s="3" t="inlineStr">
        <is>
          <t>P1</t>
        </is>
      </c>
      <c r="C8" s="3" t="inlineStr">
        <is>
          <t>품질</t>
        </is>
      </c>
      <c r="D8" s="3" t="inlineStr">
        <is>
          <t>inspections/feedbacks</t>
        </is>
      </c>
      <c r="E8" s="3" t="inlineStr">
        <is>
          <t>검수/NPS/리뷰</t>
        </is>
      </c>
      <c r="F8" s="3" t="inlineStr">
        <is>
          <t>작업 완료 후</t>
        </is>
      </c>
      <c r="G8" s="3" t="inlineStr">
        <is>
          <t>부분 구현</t>
        </is>
      </c>
      <c r="H8" s="3" t="inlineStr">
        <is>
          <t>검수 실패 사유와 사진 연결 필요</t>
        </is>
      </c>
    </row>
    <row r="9">
      <c r="A9" s="3" t="inlineStr">
        <is>
          <t>Stage 1</t>
        </is>
      </c>
      <c r="B9" s="3" t="inlineStr">
        <is>
          <t>P1</t>
        </is>
      </c>
      <c r="C9" s="3" t="inlineStr">
        <is>
          <t>A/S</t>
        </is>
      </c>
      <c r="D9" s="3" t="inlineStr">
        <is>
          <t>warranty_cases</t>
        </is>
      </c>
      <c r="E9" s="3" t="inlineStr">
        <is>
          <t>증상/책임/처리상태</t>
        </is>
      </c>
      <c r="F9" s="3" t="inlineStr">
        <is>
          <t>주문내역/A/S 접수</t>
        </is>
      </c>
      <c r="G9" s="3" t="inlineStr">
        <is>
          <t>부분 구현</t>
        </is>
      </c>
      <c r="H9" s="3" t="inlineStr">
        <is>
          <t>만료 알림과 연결</t>
        </is>
      </c>
    </row>
    <row r="10">
      <c r="A10" s="3" t="inlineStr">
        <is>
          <t>Stage 2</t>
        </is>
      </c>
      <c r="B10" s="3" t="inlineStr">
        <is>
          <t>P2</t>
        </is>
      </c>
      <c r="C10" s="3" t="inlineStr">
        <is>
          <t>마케팅</t>
        </is>
      </c>
      <c r="D10" s="3" t="inlineStr">
        <is>
          <t>events/sessions</t>
        </is>
      </c>
      <c r="E10" s="3" t="inlineStr">
        <is>
          <t>UTM/이벤트/디바이스</t>
        </is>
      </c>
      <c r="F10" s="3" t="inlineStr">
        <is>
          <t>전체 플로우</t>
        </is>
      </c>
      <c r="G10" s="3" t="inlineStr">
        <is>
          <t>구현</t>
        </is>
      </c>
      <c r="H10" s="3" t="inlineStr">
        <is>
          <t>운영 테이블과 별도 관리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0" customWidth="1" min="4" max="4"/>
    <col width="8" customWidth="1" min="5" max="5"/>
    <col width="10" customWidth="1" min="6" max="6"/>
    <col width="18" customWidth="1" min="7" max="7"/>
    <col width="54" customWidth="1" min="8" max="8"/>
  </cols>
  <sheetData>
    <row r="1">
      <c r="A1" s="4" t="inlineStr">
        <is>
          <t>table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required</t>
        </is>
      </c>
      <c r="E1" s="4" t="inlineStr">
        <is>
          <t>pii</t>
        </is>
      </c>
      <c r="F1" s="4" t="inlineStr">
        <is>
          <t>priority</t>
        </is>
      </c>
      <c r="G1" s="4" t="inlineStr">
        <is>
          <t>source</t>
        </is>
      </c>
      <c r="H1" s="4" t="inlineStr">
        <is>
          <t>description</t>
        </is>
      </c>
    </row>
    <row r="2">
      <c r="A2" s="3" t="inlineStr">
        <is>
          <t>customers_private</t>
        </is>
      </c>
      <c r="B2" s="3" t="inlineStr">
        <is>
          <t>customer_id</t>
        </is>
      </c>
      <c r="C2" s="3" t="inlineStr">
        <is>
          <t>uuid/text</t>
        </is>
      </c>
      <c r="D2" s="3" t="inlineStr">
        <is>
          <t>Y</t>
        </is>
      </c>
      <c r="E2" s="3" t="inlineStr">
        <is>
          <t>N</t>
        </is>
      </c>
      <c r="F2" s="3" t="inlineStr">
        <is>
          <t>P0</t>
        </is>
      </c>
      <c r="G2" s="3" t="inlineStr">
        <is>
          <t>server</t>
        </is>
      </c>
      <c r="H2" s="3" t="inlineStr">
        <is>
          <t>고객 내부 식별자</t>
        </is>
      </c>
    </row>
    <row r="3">
      <c r="A3" s="3" t="inlineStr">
        <is>
          <t>customers_private</t>
        </is>
      </c>
      <c r="B3" s="3" t="inlineStr">
        <is>
          <t>name</t>
        </is>
      </c>
      <c r="C3" s="3" t="inlineStr">
        <is>
          <t>text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P0</t>
        </is>
      </c>
      <c r="G3" s="3" t="inlineStr">
        <is>
          <t>user</t>
        </is>
      </c>
      <c r="H3" s="3" t="inlineStr">
        <is>
          <t>고객명</t>
        </is>
      </c>
    </row>
    <row r="4">
      <c r="A4" s="3" t="inlineStr">
        <is>
          <t>customers_private</t>
        </is>
      </c>
      <c r="B4" s="3" t="inlineStr">
        <is>
          <t>phone</t>
        </is>
      </c>
      <c r="C4" s="3" t="inlineStr">
        <is>
          <t>text</t>
        </is>
      </c>
      <c r="D4" s="3" t="inlineStr">
        <is>
          <t>Y</t>
        </is>
      </c>
      <c r="E4" s="3" t="inlineStr">
        <is>
          <t>Y</t>
        </is>
      </c>
      <c r="F4" s="3" t="inlineStr">
        <is>
          <t>P0</t>
        </is>
      </c>
      <c r="G4" s="3" t="inlineStr">
        <is>
          <t>user</t>
        </is>
      </c>
      <c r="H4" s="3" t="inlineStr">
        <is>
          <t>010 휴대폰 번호</t>
        </is>
      </c>
    </row>
    <row r="5">
      <c r="A5" s="3" t="inlineStr">
        <is>
          <t>customers_private</t>
        </is>
      </c>
      <c r="B5" s="3" t="inlineStr">
        <is>
          <t>kakao_notice_consent</t>
        </is>
      </c>
      <c r="C5" s="3" t="inlineStr">
        <is>
          <t>boolean</t>
        </is>
      </c>
      <c r="D5" s="3" t="inlineStr">
        <is>
          <t>Y</t>
        </is>
      </c>
      <c r="E5" s="3" t="inlineStr">
        <is>
          <t>Y</t>
        </is>
      </c>
      <c r="F5" s="3" t="inlineStr">
        <is>
          <t>P0</t>
        </is>
      </c>
      <c r="G5" s="3" t="inlineStr">
        <is>
          <t>user</t>
        </is>
      </c>
      <c r="H5" s="3" t="inlineStr">
        <is>
          <t>카카오 알림/상담 동의</t>
        </is>
      </c>
    </row>
    <row r="6">
      <c r="A6" s="3" t="inlineStr">
        <is>
          <t>homes</t>
        </is>
      </c>
      <c r="B6" s="3" t="inlineStr">
        <is>
          <t>address_full</t>
        </is>
      </c>
      <c r="C6" s="3" t="inlineStr">
        <is>
          <t>text</t>
        </is>
      </c>
      <c r="D6" s="3" t="inlineStr">
        <is>
          <t>Y</t>
        </is>
      </c>
      <c r="E6" s="3" t="inlineStr">
        <is>
          <t>Y</t>
        </is>
      </c>
      <c r="F6" s="3" t="inlineStr">
        <is>
          <t>P0</t>
        </is>
      </c>
      <c r="G6" s="3" t="inlineStr">
        <is>
          <t>user/address api</t>
        </is>
      </c>
      <c r="H6" s="3" t="inlineStr">
        <is>
          <t>결제/예약 진행 시 방문 주소</t>
        </is>
      </c>
    </row>
    <row r="7">
      <c r="A7" s="3" t="inlineStr">
        <is>
          <t>homes</t>
        </is>
      </c>
      <c r="B7" s="3" t="inlineStr">
        <is>
          <t>housing_type</t>
        </is>
      </c>
      <c r="C7" s="3" t="inlineStr">
        <is>
          <t>enum</t>
        </is>
      </c>
      <c r="D7" s="3" t="inlineStr">
        <is>
          <t>Y</t>
        </is>
      </c>
      <c r="E7" s="3" t="inlineStr">
        <is>
          <t>N</t>
        </is>
      </c>
      <c r="F7" s="3" t="inlineStr">
        <is>
          <t>P0</t>
        </is>
      </c>
      <c r="G7" s="3" t="inlineStr">
        <is>
          <t>user</t>
        </is>
      </c>
      <c r="H7" s="3" t="inlineStr">
        <is>
          <t>자가/전세/월세/기타</t>
        </is>
      </c>
    </row>
    <row r="8">
      <c r="A8" s="3" t="inlineStr">
        <is>
          <t>homes</t>
        </is>
      </c>
      <c r="B8" s="3" t="inlineStr">
        <is>
          <t>building_type</t>
        </is>
      </c>
      <c r="C8" s="3" t="inlineStr">
        <is>
          <t>enum</t>
        </is>
      </c>
      <c r="D8" s="3" t="inlineStr">
        <is>
          <t>Y</t>
        </is>
      </c>
      <c r="E8" s="3" t="inlineStr">
        <is>
          <t>N</t>
        </is>
      </c>
      <c r="F8" s="3" t="inlineStr">
        <is>
          <t>P0</t>
        </is>
      </c>
      <c r="G8" s="3" t="inlineStr">
        <is>
          <t>user</t>
        </is>
      </c>
      <c r="H8" s="3" t="inlineStr">
        <is>
          <t>아파트/빌라/단독/오피스텔</t>
        </is>
      </c>
    </row>
    <row r="9">
      <c r="A9" s="3" t="inlineStr">
        <is>
          <t>orders</t>
        </is>
      </c>
      <c r="B9" s="3" t="inlineStr">
        <is>
          <t>reason</t>
        </is>
      </c>
      <c r="C9" s="3" t="inlineStr">
        <is>
          <t>text</t>
        </is>
      </c>
      <c r="D9" s="3" t="inlineStr">
        <is>
          <t>Y</t>
        </is>
      </c>
      <c r="E9" s="3" t="inlineStr">
        <is>
          <t>N</t>
        </is>
      </c>
      <c r="F9" s="3" t="inlineStr">
        <is>
          <t>P0</t>
        </is>
      </c>
      <c r="G9" s="3" t="inlineStr">
        <is>
          <t>user</t>
        </is>
      </c>
      <c r="H9" s="3" t="inlineStr">
        <is>
          <t>교체/수리 요청 사유</t>
        </is>
      </c>
    </row>
    <row r="10">
      <c r="A10" s="3" t="inlineStr">
        <is>
          <t>orders</t>
        </is>
      </c>
      <c r="B10" s="3" t="inlineStr">
        <is>
          <t>urgency</t>
        </is>
      </c>
      <c r="C10" s="3" t="inlineStr">
        <is>
          <t>enum</t>
        </is>
      </c>
      <c r="D10" s="3" t="inlineStr">
        <is>
          <t>Y</t>
        </is>
      </c>
      <c r="E10" s="3" t="inlineStr">
        <is>
          <t>N</t>
        </is>
      </c>
      <c r="F10" s="3" t="inlineStr">
        <is>
          <t>P0</t>
        </is>
      </c>
      <c r="G10" s="3" t="inlineStr">
        <is>
          <t>user</t>
        </is>
      </c>
      <c r="H10" s="3" t="inlineStr">
        <is>
          <t>normal/urgent/scheduled</t>
        </is>
      </c>
    </row>
    <row r="11">
      <c r="A11" s="3" t="inlineStr">
        <is>
          <t>media</t>
        </is>
      </c>
      <c r="B11" s="3" t="inlineStr">
        <is>
          <t>angle</t>
        </is>
      </c>
      <c r="C11" s="3" t="inlineStr">
        <is>
          <t>enum</t>
        </is>
      </c>
      <c r="D11" s="3" t="inlineStr">
        <is>
          <t>Y</t>
        </is>
      </c>
      <c r="E11" s="3" t="inlineStr">
        <is>
          <t>N</t>
        </is>
      </c>
      <c r="F11" s="3" t="inlineStr">
        <is>
          <t>P1</t>
        </is>
      </c>
      <c r="G11" s="3" t="inlineStr">
        <is>
          <t>upload ui</t>
        </is>
      </c>
      <c r="H11" s="3" t="inlineStr">
        <is>
          <t>wide/close/context/before/during/after/material/issue</t>
        </is>
      </c>
    </row>
    <row r="12">
      <c r="A12" s="3" t="inlineStr">
        <is>
          <t>jobs</t>
        </is>
      </c>
      <c r="B12" s="3" t="inlineStr">
        <is>
          <t>materials_used</t>
        </is>
      </c>
      <c r="C12" s="3" t="inlineStr">
        <is>
          <t>json</t>
        </is>
      </c>
      <c r="D12" s="3" t="inlineStr">
        <is>
          <t>N</t>
        </is>
      </c>
      <c r="E12" s="3" t="inlineStr">
        <is>
          <t>N</t>
        </is>
      </c>
      <c r="F12" s="3" t="inlineStr">
        <is>
          <t>P1</t>
        </is>
      </c>
      <c r="G12" s="3" t="inlineStr">
        <is>
          <t>technician</t>
        </is>
      </c>
      <c r="H12" s="3" t="inlineStr">
        <is>
          <t>사용 자재 SKU와 수량</t>
        </is>
      </c>
    </row>
    <row r="13">
      <c r="A13" s="3" t="inlineStr">
        <is>
          <t>inspections</t>
        </is>
      </c>
      <c r="B13" s="3" t="inlineStr">
        <is>
          <t>checklist_results</t>
        </is>
      </c>
      <c r="C13" s="3" t="inlineStr">
        <is>
          <t>json</t>
        </is>
      </c>
      <c r="D13" s="3" t="inlineStr">
        <is>
          <t>Y</t>
        </is>
      </c>
      <c r="E13" s="3" t="inlineStr">
        <is>
          <t>N</t>
        </is>
      </c>
      <c r="F13" s="3" t="inlineStr">
        <is>
          <t>P1</t>
        </is>
      </c>
      <c r="G13" s="3" t="inlineStr">
        <is>
          <t>admin</t>
        </is>
      </c>
      <c r="H13" s="3" t="inlineStr">
        <is>
          <t>검수 체크리스트 결과</t>
        </is>
      </c>
    </row>
    <row r="14">
      <c r="A14" s="3" t="inlineStr">
        <is>
          <t>events</t>
        </is>
      </c>
      <c r="B14" s="3" t="inlineStr">
        <is>
          <t>event_type</t>
        </is>
      </c>
      <c r="C14" s="3" t="inlineStr">
        <is>
          <t>enum</t>
        </is>
      </c>
      <c r="D14" s="3" t="inlineStr">
        <is>
          <t>Y</t>
        </is>
      </c>
      <c r="E14" s="3" t="inlineStr">
        <is>
          <t>N</t>
        </is>
      </c>
      <c r="F14" s="3" t="inlineStr">
        <is>
          <t>P2</t>
        </is>
      </c>
      <c r="G14" s="3" t="inlineStr">
        <is>
          <t>client/server</t>
        </is>
      </c>
      <c r="H14" s="3" t="inlineStr">
        <is>
          <t>퍼널/행동 이벤트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14" customWidth="1" min="9" max="9"/>
  </cols>
  <sheetData>
    <row r="1">
      <c r="A1" s="4" t="inlineStr">
        <is>
          <t>customer_id</t>
        </is>
      </c>
      <c r="B1" s="4" t="inlineStr">
        <is>
          <t>created_at</t>
        </is>
      </c>
      <c r="C1" s="4" t="inlineStr">
        <is>
          <t>name</t>
        </is>
      </c>
      <c r="D1" s="4" t="inlineStr">
        <is>
          <t>phone</t>
        </is>
      </c>
      <c r="E1" s="4" t="inlineStr">
        <is>
          <t>kakao_notice_consent</t>
        </is>
      </c>
      <c r="F1" s="4" t="inlineStr">
        <is>
          <t>acquisition_source</t>
        </is>
      </c>
      <c r="G1" s="4" t="inlineStr">
        <is>
          <t>first_contact_at</t>
        </is>
      </c>
      <c r="H1" s="4" t="inlineStr">
        <is>
          <t>retention_until</t>
        </is>
      </c>
      <c r="I1" s="4" t="inlineStr">
        <is>
          <t>access_level</t>
        </is>
      </c>
    </row>
    <row r="2">
      <c r="A2" s="3" t="inlineStr">
        <is>
          <t>CUST-0001</t>
        </is>
      </c>
      <c r="B2" s="3" t="inlineStr">
        <is>
          <t>2026-05-12 10:03:45</t>
        </is>
      </c>
      <c r="C2" s="3" t="inlineStr">
        <is>
          <t>김OO</t>
        </is>
      </c>
      <c r="D2" s="3" t="inlineStr">
        <is>
          <t>01012345678</t>
        </is>
      </c>
      <c r="E2" s="3" t="b">
        <v>1</v>
      </c>
      <c r="F2" s="3" t="inlineStr">
        <is>
          <t>instagram</t>
        </is>
      </c>
      <c r="G2" s="3" t="inlineStr">
        <is>
          <t>2026-05-12 10:11:45</t>
        </is>
      </c>
      <c r="H2" s="3" t="inlineStr">
        <is>
          <t>2029-05-12</t>
        </is>
      </c>
      <c r="I2" s="3" t="inlineStr">
        <is>
          <t>restricted</t>
        </is>
      </c>
    </row>
  </sheetData>
  <dataValidations count="2">
    <dataValidation sqref="E2:E500" showDropDown="0" showInputMessage="0" showErrorMessage="0" allowBlank="1" type="list">
      <formula1>"TRUE,FALSE"</formula1>
    </dataValidation>
    <dataValidation sqref="I2:I500" showDropDown="0" showInputMessage="0" showErrorMessage="0" allowBlank="1" type="list">
      <formula1>"restricted,admin_only"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4" customWidth="1" min="4" max="4"/>
    <col width="13" customWidth="1" min="5" max="5"/>
    <col width="13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4" t="inlineStr">
        <is>
          <t>home_id</t>
        </is>
      </c>
      <c r="B1" s="4" t="inlineStr">
        <is>
          <t>customer_id</t>
        </is>
      </c>
      <c r="C1" s="4" t="inlineStr">
        <is>
          <t>address_full</t>
        </is>
      </c>
      <c r="D1" s="4" t="inlineStr">
        <is>
          <t>address_dong</t>
        </is>
      </c>
      <c r="E1" s="4" t="inlineStr">
        <is>
          <t>address_apt</t>
        </is>
      </c>
      <c r="F1" s="4" t="inlineStr">
        <is>
          <t>postal_code</t>
        </is>
      </c>
      <c r="G1" s="4" t="inlineStr">
        <is>
          <t>housing_type</t>
        </is>
      </c>
      <c r="H1" s="4" t="inlineStr">
        <is>
          <t>building_type</t>
        </is>
      </c>
      <c r="I1" s="4" t="inlineStr">
        <is>
          <t>size_pyung</t>
        </is>
      </c>
      <c r="J1" s="4" t="inlineStr">
        <is>
          <t>year_built</t>
        </is>
      </c>
      <c r="K1" s="4" t="inlineStr">
        <is>
          <t>floor</t>
        </is>
      </c>
      <c r="L1" s="4" t="inlineStr">
        <is>
          <t>has_kids</t>
        </is>
      </c>
      <c r="M1" s="4" t="inlineStr">
        <is>
          <t>has_elderly</t>
        </is>
      </c>
    </row>
    <row r="2">
      <c r="A2" s="3" t="inlineStr">
        <is>
          <t>HOME-0001</t>
        </is>
      </c>
      <c r="B2" s="3" t="inlineStr">
        <is>
          <t>CUST-0001</t>
        </is>
      </c>
      <c r="C2" s="3" t="inlineStr">
        <is>
          <t>경기도 수원시 영통구 예시로 101</t>
        </is>
      </c>
      <c r="D2" s="3" t="inlineStr">
        <is>
          <t>영통동</t>
        </is>
      </c>
      <c r="E2" s="3" t="inlineStr">
        <is>
          <t>예시아파트</t>
        </is>
      </c>
      <c r="F2" s="3" t="inlineStr">
        <is>
          <t>16600</t>
        </is>
      </c>
      <c r="G2" s="3" t="inlineStr">
        <is>
          <t>자가</t>
        </is>
      </c>
      <c r="H2" s="3" t="inlineStr">
        <is>
          <t>아파트</t>
        </is>
      </c>
      <c r="I2" s="3" t="n">
        <v>32</v>
      </c>
      <c r="J2" s="3" t="n">
        <v>2012</v>
      </c>
      <c r="K2" s="3" t="n">
        <v>12</v>
      </c>
      <c r="L2" s="3" t="b">
        <v>0</v>
      </c>
      <c r="M2" s="3" t="b">
        <v>0</v>
      </c>
    </row>
  </sheetData>
  <dataValidations count="2">
    <dataValidation sqref="G2:G500" showDropDown="0" showInputMessage="0" showErrorMessage="0" allowBlank="1" type="list">
      <formula1>"자가,전세,월세,기타"</formula1>
    </dataValidation>
    <dataValidation sqref="H2:H500" showDropDown="0" showInputMessage="0" showErrorMessage="0" allowBlank="1" type="list">
      <formula1>"아파트,빌라,단독주택,오피스텔"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2" customWidth="1" min="4" max="4"/>
    <col width="21" customWidth="1" min="5" max="5"/>
    <col width="12" customWidth="1" min="6" max="6"/>
    <col width="12" customWidth="1" min="7" max="7"/>
    <col width="26" customWidth="1" min="8" max="8"/>
    <col width="16" customWidth="1" min="9" max="9"/>
    <col width="25" customWidth="1" min="10" max="10"/>
    <col width="28" customWidth="1" min="11" max="11"/>
    <col width="12" customWidth="1" min="12" max="12"/>
    <col width="26" customWidth="1" min="13" max="13"/>
    <col width="12" customWidth="1" min="14" max="14"/>
    <col width="14" customWidth="1" min="15" max="15"/>
    <col width="18" customWidth="1" min="16" max="16"/>
  </cols>
  <sheetData>
    <row r="1">
      <c r="A1" s="4" t="inlineStr">
        <is>
          <t>order_id</t>
        </is>
      </c>
      <c r="B1" s="4" t="inlineStr">
        <is>
          <t>order_number</t>
        </is>
      </c>
      <c r="C1" s="4" t="inlineStr">
        <is>
          <t>customer_id</t>
        </is>
      </c>
      <c r="D1" s="4" t="inlineStr">
        <is>
          <t>home_id</t>
        </is>
      </c>
      <c r="E1" s="4" t="inlineStr">
        <is>
          <t>created_at</t>
        </is>
      </c>
      <c r="F1" s="4" t="inlineStr">
        <is>
          <t>channel</t>
        </is>
      </c>
      <c r="G1" s="4" t="inlineStr">
        <is>
          <t>source</t>
        </is>
      </c>
      <c r="H1" s="4" t="inlineStr">
        <is>
          <t>campaign</t>
        </is>
      </c>
      <c r="I1" s="4" t="inlineStr">
        <is>
          <t>service_code</t>
        </is>
      </c>
      <c r="J1" s="4" t="inlineStr">
        <is>
          <t>skus</t>
        </is>
      </c>
      <c r="K1" s="4" t="inlineStr">
        <is>
          <t>reason</t>
        </is>
      </c>
      <c r="L1" s="4" t="inlineStr">
        <is>
          <t>urgency</t>
        </is>
      </c>
      <c r="M1" s="4" t="inlineStr">
        <is>
          <t>self_diagnosis</t>
        </is>
      </c>
      <c r="N1" s="4" t="inlineStr">
        <is>
          <t>status</t>
        </is>
      </c>
      <c r="O1" s="4" t="inlineStr">
        <is>
          <t>total_amount</t>
        </is>
      </c>
      <c r="P1" s="4" t="inlineStr">
        <is>
          <t>access_token_issued</t>
        </is>
      </c>
    </row>
    <row r="2">
      <c r="A2" s="3" t="inlineStr">
        <is>
          <t>ORD-0001</t>
        </is>
      </c>
      <c r="B2" s="3" t="inlineStr">
        <is>
          <t>BU-20260512-0001</t>
        </is>
      </c>
      <c r="C2" s="3" t="inlineStr">
        <is>
          <t>CUST-0001</t>
        </is>
      </c>
      <c r="D2" s="3" t="inlineStr">
        <is>
          <t>HOME-0001</t>
        </is>
      </c>
      <c r="E2" s="3" t="inlineStr">
        <is>
          <t>2026-05-12 10:03:45</t>
        </is>
      </c>
      <c r="F2" s="3" t="inlineStr">
        <is>
          <t>web</t>
        </is>
      </c>
      <c r="G2" s="3" t="inlineStr">
        <is>
          <t>instagram</t>
        </is>
      </c>
      <c r="H2" s="3" t="inlineStr">
        <is>
          <t>suwon_toilet_fixed_price</t>
        </is>
      </c>
      <c r="I2" s="3" t="inlineStr">
        <is>
          <t>toilet_replace</t>
        </is>
      </c>
      <c r="J2" s="3" t="inlineStr">
        <is>
          <t>toilet_replace:standard</t>
        </is>
      </c>
      <c r="K2" s="3" t="inlineStr">
        <is>
          <t>누수와 흔들림</t>
        </is>
      </c>
      <c r="L2" s="3" t="inlineStr">
        <is>
          <t>normal</t>
        </is>
      </c>
      <c r="M2" s="3" t="inlineStr">
        <is>
          <t>사진 기준 교체추천</t>
        </is>
      </c>
      <c r="N2" s="3" t="inlineStr">
        <is>
          <t>paid</t>
        </is>
      </c>
      <c r="O2" s="3" t="n">
        <v>325000</v>
      </c>
      <c r="P2" s="3" t="b">
        <v>1</v>
      </c>
    </row>
  </sheetData>
  <dataValidations count="3">
    <dataValidation sqref="F2:F500" showDropDown="0" showInputMessage="0" showErrorMessage="0" allowBlank="1" type="list">
      <formula1>"web,kakao,phone,store,instagram,offline"</formula1>
    </dataValidation>
    <dataValidation sqref="L2:L500" showDropDown="0" showInputMessage="0" showErrorMessage="0" allowBlank="1" type="list">
      <formula1>"normal,urgent,scheduled"</formula1>
    </dataValidation>
    <dataValidation sqref="N2:N500" showDropDown="0" showInputMessage="0" showErrorMessage="0" allowBlank="1" type="list">
      <formula1>"inquiry,submitted,quoted,payment_pending,paid,scheduled,in_progress,done,completed,cancel_requested,issue,warranty"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13" customWidth="1" min="5" max="5"/>
    <col width="18" customWidth="1" min="6" max="6"/>
    <col width="14" customWidth="1" min="7" max="7"/>
    <col width="17" customWidth="1" min="8" max="8"/>
    <col width="14" customWidth="1" min="9" max="9"/>
    <col width="21" customWidth="1" min="10" max="10"/>
    <col width="14" customWidth="1" min="11" max="11"/>
  </cols>
  <sheetData>
    <row r="1">
      <c r="A1" s="4" t="inlineStr">
        <is>
          <t>quote_id</t>
        </is>
      </c>
      <c r="B1" s="4" t="inlineStr">
        <is>
          <t>order_id</t>
        </is>
      </c>
      <c r="C1" s="4" t="inlineStr">
        <is>
          <t>created_at</t>
        </is>
      </c>
      <c r="D1" s="4" t="inlineStr">
        <is>
          <t>service_code</t>
        </is>
      </c>
      <c r="E1" s="4" t="inlineStr">
        <is>
          <t>base_amount</t>
        </is>
      </c>
      <c r="F1" s="4" t="inlineStr">
        <is>
          <t>materials_amount</t>
        </is>
      </c>
      <c r="G1" s="4" t="inlineStr">
        <is>
          <t>addon_amount</t>
        </is>
      </c>
      <c r="H1" s="4" t="inlineStr">
        <is>
          <t>discount_amount</t>
        </is>
      </c>
      <c r="I1" s="4" t="inlineStr">
        <is>
          <t>final_amount</t>
        </is>
      </c>
      <c r="J1" s="4" t="inlineStr">
        <is>
          <t>accepted_at</t>
        </is>
      </c>
      <c r="K1" s="4" t="inlineStr">
        <is>
          <t>quote_status</t>
        </is>
      </c>
    </row>
    <row r="2">
      <c r="A2" s="3" t="inlineStr">
        <is>
          <t>QUOTE-0001</t>
        </is>
      </c>
      <c r="B2" s="3" t="inlineStr">
        <is>
          <t>ORD-0001</t>
        </is>
      </c>
      <c r="C2" s="3" t="inlineStr">
        <is>
          <t>2026-05-12 10:05:20</t>
        </is>
      </c>
      <c r="D2" s="3" t="inlineStr">
        <is>
          <t>toilet_replace</t>
        </is>
      </c>
      <c r="E2" s="3" t="n">
        <v>250000</v>
      </c>
      <c r="F2" s="3" t="n">
        <v>60000</v>
      </c>
      <c r="G2" s="3" t="n">
        <v>15000</v>
      </c>
      <c r="H2" s="3" t="n">
        <v>0</v>
      </c>
      <c r="I2" s="3" t="n">
        <v>325000</v>
      </c>
      <c r="J2" s="3" t="inlineStr">
        <is>
          <t>2026-05-12 10:08:00</t>
        </is>
      </c>
      <c r="K2" s="3" t="inlineStr">
        <is>
          <t>accepted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21" customWidth="1" min="9" max="9"/>
    <col width="15" customWidth="1" min="10" max="10"/>
    <col width="17" customWidth="1" min="11" max="11"/>
  </cols>
  <sheetData>
    <row r="1">
      <c r="A1" s="4" t="inlineStr">
        <is>
          <t>payment_id</t>
        </is>
      </c>
      <c r="B1" s="4" t="inlineStr">
        <is>
          <t>order_id</t>
        </is>
      </c>
      <c r="C1" s="4" t="inlineStr">
        <is>
          <t>quote_id</t>
        </is>
      </c>
      <c r="D1" s="4" t="inlineStr">
        <is>
          <t>provider</t>
        </is>
      </c>
      <c r="E1" s="4" t="inlineStr">
        <is>
          <t>payment_key</t>
        </is>
      </c>
      <c r="F1" s="4" t="inlineStr">
        <is>
          <t>method</t>
        </is>
      </c>
      <c r="G1" s="4" t="inlineStr">
        <is>
          <t>amount</t>
        </is>
      </c>
      <c r="H1" s="4" t="inlineStr">
        <is>
          <t>status</t>
        </is>
      </c>
      <c r="I1" s="4" t="inlineStr">
        <is>
          <t>paid_at</t>
        </is>
      </c>
      <c r="J1" s="4" t="inlineStr">
        <is>
          <t>refund_amount</t>
        </is>
      </c>
      <c r="K1" s="4" t="inlineStr">
        <is>
          <t>provider_status</t>
        </is>
      </c>
    </row>
    <row r="2">
      <c r="A2" s="3" t="inlineStr">
        <is>
          <t>PAY-0001</t>
        </is>
      </c>
      <c r="B2" s="3" t="inlineStr">
        <is>
          <t>ORD-0001</t>
        </is>
      </c>
      <c r="C2" s="3" t="inlineStr">
        <is>
          <t>QUOTE-0001</t>
        </is>
      </c>
      <c r="D2" s="3" t="inlineStr">
        <is>
          <t>toss</t>
        </is>
      </c>
      <c r="E2" s="3" t="inlineStr">
        <is>
          <t>masked_test_key</t>
        </is>
      </c>
      <c r="F2" s="3" t="inlineStr">
        <is>
          <t>CARD</t>
        </is>
      </c>
      <c r="G2" s="3" t="n">
        <v>325000</v>
      </c>
      <c r="H2" s="3" t="inlineStr">
        <is>
          <t>done</t>
        </is>
      </c>
      <c r="I2" s="3" t="inlineStr">
        <is>
          <t>2026-05-12 10:09:10</t>
        </is>
      </c>
      <c r="J2" s="3" t="n">
        <v>0</v>
      </c>
      <c r="K2" s="3" t="inlineStr">
        <is>
          <t>DONE</t>
        </is>
      </c>
    </row>
  </sheetData>
  <dataValidations count="2">
    <dataValidation sqref="F2:F500" showDropDown="0" showInputMessage="0" showErrorMessage="0" allowBlank="1" type="list">
      <formula1>"CARD,TRANSFER,CASH"</formula1>
    </dataValidation>
    <dataValidation sqref="H2:H500" showDropDown="0" showInputMessage="0" showErrorMessage="0" allowBlank="1" type="list">
      <formula1>"pending,done,failed,cancelled,refunded"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2" customWidth="1" min="5" max="5"/>
    <col width="21" customWidth="1" min="6" max="6"/>
    <col width="19" customWidth="1" min="7" max="7"/>
    <col width="13" customWidth="1" min="8" max="8"/>
  </cols>
  <sheetData>
    <row r="1">
      <c r="A1" s="4" t="inlineStr">
        <is>
          <t>reservation_id</t>
        </is>
      </c>
      <c r="B1" s="4" t="inlineStr">
        <is>
          <t>order_id</t>
        </is>
      </c>
      <c r="C1" s="4" t="inlineStr">
        <is>
          <t>reserved_date</t>
        </is>
      </c>
      <c r="D1" s="4" t="inlineStr">
        <is>
          <t>time_slot</t>
        </is>
      </c>
      <c r="E1" s="4" t="inlineStr">
        <is>
          <t>status</t>
        </is>
      </c>
      <c r="F1" s="4" t="inlineStr">
        <is>
          <t>created_at</t>
        </is>
      </c>
      <c r="G1" s="4" t="inlineStr">
        <is>
          <t>rescheduled_count</t>
        </is>
      </c>
      <c r="H1" s="4" t="inlineStr">
        <is>
          <t>memo</t>
        </is>
      </c>
    </row>
    <row r="2">
      <c r="A2" s="3" t="inlineStr">
        <is>
          <t>RSV-0001</t>
        </is>
      </c>
      <c r="B2" s="3" t="inlineStr">
        <is>
          <t>ORD-0001</t>
        </is>
      </c>
      <c r="C2" s="3" t="inlineStr">
        <is>
          <t>2026-05-14</t>
        </is>
      </c>
      <c r="D2" s="3" t="inlineStr">
        <is>
          <t>morning</t>
        </is>
      </c>
      <c r="E2" s="3" t="inlineStr">
        <is>
          <t>confirmed</t>
        </is>
      </c>
      <c r="F2" s="3" t="inlineStr">
        <is>
          <t>2026-05-12 10:09:50</t>
        </is>
      </c>
      <c r="G2" s="3" t="n">
        <v>0</v>
      </c>
      <c r="H2" s="3" t="inlineStr">
        <is>
          <t>엘리베이터 사용 가능</t>
        </is>
      </c>
    </row>
  </sheetData>
  <dataValidations count="2">
    <dataValidation sqref="D2:D500" showDropDown="0" showInputMessage="0" showErrorMessage="0" allowBlank="1" type="list">
      <formula1>"morning,afternoon,all_day"</formula1>
    </dataValidation>
    <dataValidation sqref="E2:E500" showDropDown="0" showInputMessage="0" showErrorMessage="0" allowBlank="1" type="list">
      <formula1>"pending,confirmed,cancelled"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21" customWidth="1" min="5" max="5"/>
    <col width="21" customWidth="1" min="6" max="6"/>
    <col width="12" customWidth="1" min="7" max="7"/>
    <col width="18" customWidth="1" min="8" max="8"/>
    <col width="16" customWidth="1" min="9" max="9"/>
    <col width="30" customWidth="1" min="10" max="10"/>
    <col width="24" customWidth="1" min="11" max="11"/>
    <col width="24" customWidth="1" min="12" max="12"/>
    <col width="30" customWidth="1" min="13" max="13"/>
  </cols>
  <sheetData>
    <row r="1">
      <c r="A1" s="4" t="inlineStr">
        <is>
          <t>job_id</t>
        </is>
      </c>
      <c r="B1" s="4" t="inlineStr">
        <is>
          <t>order_id</t>
        </is>
      </c>
      <c r="C1" s="4" t="inlineStr">
        <is>
          <t>technician_id</t>
        </is>
      </c>
      <c r="D1" s="4" t="inlineStr">
        <is>
          <t>scheduled_at</t>
        </is>
      </c>
      <c r="E1" s="4" t="inlineStr">
        <is>
          <t>started_at</t>
        </is>
      </c>
      <c r="F1" s="4" t="inlineStr">
        <is>
          <t>ended_at</t>
        </is>
      </c>
      <c r="G1" s="4" t="inlineStr">
        <is>
          <t>status</t>
        </is>
      </c>
      <c r="H1" s="4" t="inlineStr">
        <is>
          <t>expected_minutes</t>
        </is>
      </c>
      <c r="I1" s="4" t="inlineStr">
        <is>
          <t>actual_minutes</t>
        </is>
      </c>
      <c r="J1" s="4" t="inlineStr">
        <is>
          <t>materials_used</t>
        </is>
      </c>
      <c r="K1" s="4" t="inlineStr">
        <is>
          <t>extra_materials</t>
        </is>
      </c>
      <c r="L1" s="4" t="inlineStr">
        <is>
          <t>issues</t>
        </is>
      </c>
      <c r="M1" s="4" t="inlineStr">
        <is>
          <t>completion_notes</t>
        </is>
      </c>
    </row>
    <row r="2">
      <c r="A2" s="3" t="inlineStr">
        <is>
          <t>JOB-0001</t>
        </is>
      </c>
      <c r="B2" s="3" t="inlineStr">
        <is>
          <t>ORD-0001</t>
        </is>
      </c>
      <c r="C2" s="3" t="inlineStr">
        <is>
          <t>TECH-0001</t>
        </is>
      </c>
      <c r="D2" s="3" t="inlineStr">
        <is>
          <t>2026-05-14 09:00:00</t>
        </is>
      </c>
      <c r="E2" s="3" t="inlineStr">
        <is>
          <t>2026-05-14 09:08:00</t>
        </is>
      </c>
      <c r="F2" s="3" t="inlineStr">
        <is>
          <t>2026-05-14 10:12:00</t>
        </is>
      </c>
      <c r="G2" s="3" t="inlineStr">
        <is>
          <t>done</t>
        </is>
      </c>
      <c r="H2" s="3" t="n">
        <v>60</v>
      </c>
      <c r="I2" s="3" t="n">
        <v>64</v>
      </c>
      <c r="J2" s="3" t="inlineStr">
        <is>
          <t>[{"sku":"angle_valve","qty":1}]</t>
        </is>
      </c>
      <c r="K2" s="3" t="inlineStr"/>
      <c r="L2" s="3" t="inlineStr"/>
      <c r="M2" s="3" t="inlineStr">
        <is>
          <t>누수 확인 완료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36" customWidth="1" min="7" max="7"/>
    <col width="22" customWidth="1" min="8" max="8"/>
    <col width="18" customWidth="1" min="9" max="9"/>
    <col width="12" customWidth="1" min="10" max="10"/>
    <col width="24" customWidth="1" min="11" max="11"/>
    <col width="14" customWidth="1" min="12" max="12"/>
  </cols>
  <sheetData>
    <row r="1">
      <c r="A1" s="4" t="inlineStr">
        <is>
          <t>media_id</t>
        </is>
      </c>
      <c r="B1" s="4" t="inlineStr">
        <is>
          <t>order_id</t>
        </is>
      </c>
      <c r="C1" s="4" t="inlineStr">
        <is>
          <t>job_id</t>
        </is>
      </c>
      <c r="D1" s="4" t="inlineStr">
        <is>
          <t>created_at</t>
        </is>
      </c>
      <c r="E1" s="4" t="inlineStr">
        <is>
          <t>type</t>
        </is>
      </c>
      <c r="F1" s="4" t="inlineStr">
        <is>
          <t>angle</t>
        </is>
      </c>
      <c r="G1" s="4" t="inlineStr">
        <is>
          <t>file_path</t>
        </is>
      </c>
      <c r="H1" s="4" t="inlineStr">
        <is>
          <t>url</t>
        </is>
      </c>
      <c r="I1" s="4" t="inlineStr">
        <is>
          <t>tags</t>
        </is>
      </c>
      <c r="J1" s="4" t="inlineStr">
        <is>
          <t>sort_order</t>
        </is>
      </c>
      <c r="K1" s="4" t="inlineStr">
        <is>
          <t>ai_detected</t>
        </is>
      </c>
      <c r="L1" s="4" t="inlineStr">
        <is>
          <t>exif_removed</t>
        </is>
      </c>
    </row>
    <row r="2">
      <c r="A2" s="3" t="inlineStr">
        <is>
          <t>MED-0001</t>
        </is>
      </c>
      <c r="B2" s="3" t="inlineStr">
        <is>
          <t>ORD-0001</t>
        </is>
      </c>
      <c r="C2" s="3" t="inlineStr"/>
      <c r="D2" s="3" t="inlineStr">
        <is>
          <t>2026-05-12 10:04:10</t>
        </is>
      </c>
      <c r="E2" s="3" t="inlineStr">
        <is>
          <t>inquiry</t>
        </is>
      </c>
      <c r="F2" s="3" t="inlineStr">
        <is>
          <t>wide</t>
        </is>
      </c>
      <c r="G2" s="3" t="inlineStr">
        <is>
          <t>orders/ORD-0001/inquiry/wide.jpg</t>
        </is>
      </c>
      <c r="H2" s="3" t="inlineStr"/>
      <c r="I2" s="3" t="inlineStr">
        <is>
          <t>customer,wide</t>
        </is>
      </c>
      <c r="J2" s="3" t="n">
        <v>1</v>
      </c>
      <c r="K2" s="3" t="inlineStr"/>
      <c r="L2" s="3" t="b">
        <v>1</v>
      </c>
    </row>
    <row r="3">
      <c r="A3" s="3" t="inlineStr">
        <is>
          <t>MED-0002</t>
        </is>
      </c>
      <c r="B3" s="3" t="inlineStr">
        <is>
          <t>ORD-0001</t>
        </is>
      </c>
      <c r="C3" s="3" t="inlineStr"/>
      <c r="D3" s="3" t="inlineStr">
        <is>
          <t>2026-05-12 10:04:20</t>
        </is>
      </c>
      <c r="E3" s="3" t="inlineStr">
        <is>
          <t>inquiry</t>
        </is>
      </c>
      <c r="F3" s="3" t="inlineStr">
        <is>
          <t>close</t>
        </is>
      </c>
      <c r="G3" s="3" t="inlineStr">
        <is>
          <t>orders/ORD-0001/inquiry/close.jpg</t>
        </is>
      </c>
      <c r="H3" s="3" t="inlineStr"/>
      <c r="I3" s="3" t="inlineStr">
        <is>
          <t>customer,close</t>
        </is>
      </c>
      <c r="J3" s="3" t="n">
        <v>2</v>
      </c>
      <c r="K3" s="3" t="inlineStr"/>
      <c r="L3" s="3" t="b">
        <v>1</v>
      </c>
    </row>
    <row r="4">
      <c r="A4" s="3" t="inlineStr">
        <is>
          <t>MED-0003</t>
        </is>
      </c>
      <c r="B4" s="3" t="inlineStr">
        <is>
          <t>ORD-0001</t>
        </is>
      </c>
      <c r="C4" s="3" t="inlineStr"/>
      <c r="D4" s="3" t="inlineStr">
        <is>
          <t>2026-05-12 10:04:30</t>
        </is>
      </c>
      <c r="E4" s="3" t="inlineStr">
        <is>
          <t>inquiry</t>
        </is>
      </c>
      <c r="F4" s="3" t="inlineStr">
        <is>
          <t>context</t>
        </is>
      </c>
      <c r="G4" s="3" t="inlineStr">
        <is>
          <t>orders/ORD-0001/inquiry/context.jpg</t>
        </is>
      </c>
      <c r="H4" s="3" t="inlineStr"/>
      <c r="I4" s="3" t="inlineStr">
        <is>
          <t>customer,context</t>
        </is>
      </c>
      <c r="J4" s="3" t="n">
        <v>3</v>
      </c>
      <c r="K4" s="3" t="inlineStr"/>
      <c r="L4" s="3" t="b">
        <v>1</v>
      </c>
    </row>
  </sheetData>
  <dataValidations count="2">
    <dataValidation sqref="E2:E500" showDropDown="0" showInputMessage="0" showErrorMessage="0" allowBlank="1" type="list">
      <formula1>"inquiry,before,during,after,material,issue"</formula1>
    </dataValidation>
    <dataValidation sqref="F2:F500" showDropDown="0" showInputMessage="0" showErrorMessage="0" allowBlank="1" type="list">
      <formula1>"wide,close,context,before,during,after,material,issue"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12" customWidth="1" min="5" max="5"/>
    <col width="46" customWidth="1" min="6" max="6"/>
    <col width="30" customWidth="1" min="7" max="7"/>
  </cols>
  <sheetData>
    <row r="1">
      <c r="A1" s="4" t="inlineStr">
        <is>
          <t>inspection_id</t>
        </is>
      </c>
      <c r="B1" s="4" t="inlineStr">
        <is>
          <t>job_id</t>
        </is>
      </c>
      <c r="C1" s="4" t="inlineStr">
        <is>
          <t>order_id</t>
        </is>
      </c>
      <c r="D1" s="4" t="inlineStr">
        <is>
          <t>created_at</t>
        </is>
      </c>
      <c r="E1" s="4" t="inlineStr">
        <is>
          <t>passed</t>
        </is>
      </c>
      <c r="F1" s="4" t="inlineStr">
        <is>
          <t>checklist_results</t>
        </is>
      </c>
      <c r="G1" s="4" t="inlineStr">
        <is>
          <t>inspector_note</t>
        </is>
      </c>
    </row>
    <row r="2">
      <c r="A2" s="3" t="inlineStr">
        <is>
          <t>INS-0001</t>
        </is>
      </c>
      <c r="B2" s="3" t="inlineStr">
        <is>
          <t>JOB-0001</t>
        </is>
      </c>
      <c r="C2" s="3" t="inlineStr">
        <is>
          <t>ORD-0001</t>
        </is>
      </c>
      <c r="D2" s="3" t="inlineStr">
        <is>
          <t>2026-05-14 11:00:00</t>
        </is>
      </c>
      <c r="E2" s="3" t="b">
        <v>1</v>
      </c>
      <c r="F2" s="3" t="inlineStr">
        <is>
          <t>[{"item":"시공 전후 사진 일치","ok":true}]</t>
        </is>
      </c>
      <c r="G2" s="3" t="inlineStr">
        <is>
          <t>이상 없음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1" customWidth="1" min="4" max="4"/>
    <col width="12" customWidth="1" min="5" max="5"/>
    <col width="12" customWidth="1" min="6" max="6"/>
    <col width="15" customWidth="1" min="7" max="7"/>
    <col width="22" customWidth="1" min="8" max="8"/>
  </cols>
  <sheetData>
    <row r="1">
      <c r="A1" s="4" t="inlineStr">
        <is>
          <t>feedback_id</t>
        </is>
      </c>
      <c r="B1" s="4" t="inlineStr">
        <is>
          <t>order_id</t>
        </is>
      </c>
      <c r="C1" s="4" t="inlineStr">
        <is>
          <t>customer_id</t>
        </is>
      </c>
      <c r="D1" s="4" t="inlineStr">
        <is>
          <t>created_at</t>
        </is>
      </c>
      <c r="E1" s="4" t="inlineStr">
        <is>
          <t>nps</t>
        </is>
      </c>
      <c r="F1" s="4" t="inlineStr">
        <is>
          <t>rating</t>
        </is>
      </c>
      <c r="G1" s="4" t="inlineStr">
        <is>
          <t>comment</t>
        </is>
      </c>
      <c r="H1" s="4" t="inlineStr">
        <is>
          <t>public_review_agreed</t>
        </is>
      </c>
    </row>
    <row r="2">
      <c r="A2" s="3" t="inlineStr">
        <is>
          <t>FDB-0001</t>
        </is>
      </c>
      <c r="B2" s="3" t="inlineStr">
        <is>
          <t>ORD-0001</t>
        </is>
      </c>
      <c r="C2" s="3" t="inlineStr">
        <is>
          <t>CUST-0001</t>
        </is>
      </c>
      <c r="D2" s="3" t="inlineStr">
        <is>
          <t>2026-05-14 18:00:00</t>
        </is>
      </c>
      <c r="E2" s="3" t="n">
        <v>9</v>
      </c>
      <c r="F2" s="3" t="n">
        <v>5</v>
      </c>
      <c r="G2" s="3" t="inlineStr">
        <is>
          <t>시간 맞춰 깔끔하게 완료</t>
        </is>
      </c>
      <c r="H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  <col width="12" customWidth="1" min="8" max="8"/>
    <col width="13" customWidth="1" min="9" max="9"/>
    <col width="17" customWidth="1" min="10" max="10"/>
  </cols>
  <sheetData>
    <row r="1">
      <c r="A1" s="4" t="inlineStr">
        <is>
          <t>warranty_id</t>
        </is>
      </c>
      <c r="B1" s="4" t="inlineStr">
        <is>
          <t>order_id</t>
        </is>
      </c>
      <c r="C1" s="4" t="inlineStr">
        <is>
          <t>job_id</t>
        </is>
      </c>
      <c r="D1" s="4" t="inlineStr">
        <is>
          <t>created_at</t>
        </is>
      </c>
      <c r="E1" s="4" t="inlineStr">
        <is>
          <t>issue_type</t>
        </is>
      </c>
      <c r="F1" s="4" t="inlineStr">
        <is>
          <t>description</t>
        </is>
      </c>
      <c r="G1" s="4" t="inlineStr">
        <is>
          <t>responsibility</t>
        </is>
      </c>
      <c r="H1" s="4" t="inlineStr">
        <is>
          <t>status</t>
        </is>
      </c>
      <c r="I1" s="4" t="inlineStr">
        <is>
          <t>resolved_at</t>
        </is>
      </c>
      <c r="J1" s="4" t="inlineStr">
        <is>
          <t>resolution_note</t>
        </is>
      </c>
    </row>
    <row r="2">
      <c r="A2" s="3" t="inlineStr">
        <is>
          <t>WAR-0001</t>
        </is>
      </c>
      <c r="B2" s="3" t="inlineStr">
        <is>
          <t>ORD-0001</t>
        </is>
      </c>
      <c r="C2" s="3" t="inlineStr">
        <is>
          <t>JOB-0001</t>
        </is>
      </c>
      <c r="D2" s="3" t="inlineStr"/>
      <c r="E2" s="3" t="inlineStr">
        <is>
          <t>leak</t>
        </is>
      </c>
      <c r="F2" s="3" t="inlineStr"/>
      <c r="G2" s="3" t="inlineStr"/>
      <c r="H2" s="3" t="inlineStr">
        <is>
          <t>none</t>
        </is>
      </c>
      <c r="I2" s="3" t="inlineStr"/>
      <c r="J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8" customWidth="1" min="5" max="5"/>
    <col width="21" customWidth="1" min="6" max="6"/>
    <col width="12" customWidth="1" min="7" max="7"/>
    <col width="12" customWidth="1" min="8" max="8"/>
    <col width="15" customWidth="1" min="9" max="9"/>
  </cols>
  <sheetData>
    <row r="1">
      <c r="A1" s="4" t="inlineStr">
        <is>
          <t>notification_id</t>
        </is>
      </c>
      <c r="B1" s="4" t="inlineStr">
        <is>
          <t>order_id</t>
        </is>
      </c>
      <c r="C1" s="4" t="inlineStr">
        <is>
          <t>customer_id</t>
        </is>
      </c>
      <c r="D1" s="4" t="inlineStr">
        <is>
          <t>channel</t>
        </is>
      </c>
      <c r="E1" s="4" t="inlineStr">
        <is>
          <t>template_key</t>
        </is>
      </c>
      <c r="F1" s="4" t="inlineStr">
        <is>
          <t>scheduled_at</t>
        </is>
      </c>
      <c r="G1" s="4" t="inlineStr">
        <is>
          <t>sent_at</t>
        </is>
      </c>
      <c r="H1" s="4" t="inlineStr">
        <is>
          <t>status</t>
        </is>
      </c>
      <c r="I1" s="4" t="inlineStr">
        <is>
          <t>error_message</t>
        </is>
      </c>
    </row>
    <row r="2">
      <c r="A2" s="3" t="inlineStr">
        <is>
          <t>NOTI-0001</t>
        </is>
      </c>
      <c r="B2" s="3" t="inlineStr">
        <is>
          <t>ORD-0001</t>
        </is>
      </c>
      <c r="C2" s="3" t="inlineStr">
        <is>
          <t>CUST-0001</t>
        </is>
      </c>
      <c r="D2" s="3" t="inlineStr">
        <is>
          <t>kakao</t>
        </is>
      </c>
      <c r="E2" s="3" t="inlineStr">
        <is>
          <t>payment_complete</t>
        </is>
      </c>
      <c r="F2" s="3" t="inlineStr">
        <is>
          <t>2026-05-12 10:09:20</t>
        </is>
      </c>
      <c r="G2" s="3" t="inlineStr"/>
      <c r="H2" s="3" t="inlineStr">
        <is>
          <t>queued</t>
        </is>
      </c>
      <c r="I2" s="3" t="inlineStr"/>
    </row>
  </sheetData>
  <dataValidations count="2">
    <dataValidation sqref="D2:D500" showDropDown="0" showInputMessage="0" showErrorMessage="0" allowBlank="1" type="list">
      <formula1>"kakao,sms,email"</formula1>
    </dataValidation>
    <dataValidation sqref="H2:H500" showDropDown="0" showInputMessage="0" showErrorMessage="0" allowBlank="1" type="list">
      <formula1>"queued,processing,sent,failed,cancelled"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26" customWidth="1" min="8" max="8"/>
    <col width="23" customWidth="1" min="9" max="9"/>
    <col width="13" customWidth="1" min="10" max="10"/>
    <col width="16" customWidth="1" min="11" max="11"/>
    <col width="36" customWidth="1" min="12" max="12"/>
  </cols>
  <sheetData>
    <row r="1">
      <c r="A1" s="4" t="inlineStr">
        <is>
          <t>event_id</t>
        </is>
      </c>
      <c r="B1" s="4" t="inlineStr">
        <is>
          <t>occurred_at</t>
        </is>
      </c>
      <c r="C1" s="4" t="inlineStr">
        <is>
          <t>session_id</t>
        </is>
      </c>
      <c r="D1" s="4" t="inlineStr">
        <is>
          <t>customer_id</t>
        </is>
      </c>
      <c r="E1" s="4" t="inlineStr">
        <is>
          <t>order_id</t>
        </is>
      </c>
      <c r="F1" s="4" t="inlineStr">
        <is>
          <t>event_type</t>
        </is>
      </c>
      <c r="G1" s="4" t="inlineStr">
        <is>
          <t>source</t>
        </is>
      </c>
      <c r="H1" s="4" t="inlineStr">
        <is>
          <t>campaign</t>
        </is>
      </c>
      <c r="I1" s="4" t="inlineStr">
        <is>
          <t>landing_path</t>
        </is>
      </c>
      <c r="J1" s="4" t="inlineStr">
        <is>
          <t>device_type</t>
        </is>
      </c>
      <c r="K1" s="4" t="inlineStr">
        <is>
          <t>service_code</t>
        </is>
      </c>
      <c r="L1" s="4" t="inlineStr">
        <is>
          <t>properties</t>
        </is>
      </c>
    </row>
    <row r="2">
      <c r="A2" s="3" t="inlineStr">
        <is>
          <t>EVT-0001</t>
        </is>
      </c>
      <c r="B2" s="3" t="inlineStr">
        <is>
          <t>2026-05-12 10:03:21</t>
        </is>
      </c>
      <c r="C2" s="3" t="inlineStr">
        <is>
          <t>SES-0001</t>
        </is>
      </c>
      <c r="D2" s="3" t="inlineStr"/>
      <c r="E2" s="3" t="inlineStr"/>
      <c r="F2" s="3" t="inlineStr">
        <is>
          <t>landing_view</t>
        </is>
      </c>
      <c r="G2" s="3" t="inlineStr">
        <is>
          <t>instagram</t>
        </is>
      </c>
      <c r="H2" s="3" t="inlineStr">
        <is>
          <t>suwon_toilet_fixed_price</t>
        </is>
      </c>
      <c r="I2" s="3" t="inlineStr">
        <is>
          <t>/quote/toilet_replace</t>
        </is>
      </c>
      <c r="J2" s="3" t="inlineStr">
        <is>
          <t>mobile</t>
        </is>
      </c>
      <c r="K2" s="3" t="inlineStr">
        <is>
          <t>toilet_replace</t>
        </is>
      </c>
      <c r="L2" s="3" t="inlineStr">
        <is>
          <t>{}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26" customWidth="1" min="5" max="5"/>
    <col width="23" customWidth="1" min="6" max="6"/>
    <col width="13" customWidth="1" min="7" max="7"/>
    <col width="17" customWidth="1" min="8" max="8"/>
    <col width="12" customWidth="1" min="9" max="9"/>
    <col width="12" customWidth="1" min="10" max="10"/>
    <col width="26" customWidth="1" min="11" max="11"/>
    <col width="12" customWidth="1" min="12" max="12"/>
  </cols>
  <sheetData>
    <row r="1">
      <c r="A1" s="4" t="inlineStr">
        <is>
          <t>session_id</t>
        </is>
      </c>
      <c r="B1" s="4" t="inlineStr">
        <is>
          <t>first_event_time</t>
        </is>
      </c>
      <c r="C1" s="4" t="inlineStr">
        <is>
          <t>last_event_time</t>
        </is>
      </c>
      <c r="D1" s="4" t="inlineStr">
        <is>
          <t>source</t>
        </is>
      </c>
      <c r="E1" s="4" t="inlineStr">
        <is>
          <t>campaign</t>
        </is>
      </c>
      <c r="F1" s="4" t="inlineStr">
        <is>
          <t>landing_path</t>
        </is>
      </c>
      <c r="G1" s="4" t="inlineStr">
        <is>
          <t>device_type</t>
        </is>
      </c>
      <c r="H1" s="4" t="inlineStr">
        <is>
          <t>region_hint</t>
        </is>
      </c>
      <c r="I1" s="4" t="inlineStr">
        <is>
          <t>order_id</t>
        </is>
      </c>
      <c r="J1" s="4" t="inlineStr">
        <is>
          <t>utm_source</t>
        </is>
      </c>
      <c r="K1" s="4" t="inlineStr">
        <is>
          <t>utm_campaign</t>
        </is>
      </c>
      <c r="L1" s="4" t="inlineStr">
        <is>
          <t>referrer</t>
        </is>
      </c>
    </row>
    <row r="2">
      <c r="A2" s="3" t="inlineStr">
        <is>
          <t>SES-0001</t>
        </is>
      </c>
      <c r="B2" s="3" t="inlineStr">
        <is>
          <t>2026-05-12 10:03:21</t>
        </is>
      </c>
      <c r="C2" s="3" t="inlineStr">
        <is>
          <t>2026-05-12 10:09:10</t>
        </is>
      </c>
      <c r="D2" s="3" t="inlineStr">
        <is>
          <t>instagram</t>
        </is>
      </c>
      <c r="E2" s="3" t="inlineStr">
        <is>
          <t>suwon_toilet_fixed_price</t>
        </is>
      </c>
      <c r="F2" s="3" t="inlineStr">
        <is>
          <t>/quote/toilet_replace</t>
        </is>
      </c>
      <c r="G2" s="3" t="inlineStr">
        <is>
          <t>mobile</t>
        </is>
      </c>
      <c r="H2" s="3" t="inlineStr">
        <is>
          <t>suwon_yeongtong</t>
        </is>
      </c>
      <c r="I2" s="3" t="inlineStr">
        <is>
          <t>ORD-0001</t>
        </is>
      </c>
      <c r="J2" s="3" t="inlineStr">
        <is>
          <t>instagram</t>
        </is>
      </c>
      <c r="K2" s="3" t="inlineStr">
        <is>
          <t>suwon_toilet_fixed_price</t>
        </is>
      </c>
      <c r="L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</cols>
  <sheetData>
    <row r="1">
      <c r="A1" s="4" t="inlineStr">
        <is>
          <t>sku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grade</t>
        </is>
      </c>
      <c r="E1" s="4" t="inlineStr">
        <is>
          <t>retail_price</t>
        </is>
      </c>
      <c r="F1" s="4" t="inlineStr">
        <is>
          <t>cost_price</t>
        </is>
      </c>
      <c r="G1" s="4" t="inlineStr">
        <is>
          <t>is_active</t>
        </is>
      </c>
      <c r="H1" s="4" t="inlineStr">
        <is>
          <t>default_service_code</t>
        </is>
      </c>
    </row>
    <row r="2">
      <c r="A2" s="3" t="inlineStr">
        <is>
          <t>angle_valve</t>
        </is>
      </c>
      <c r="B2" s="3" t="inlineStr">
        <is>
          <t>앵글밸브</t>
        </is>
      </c>
      <c r="C2" s="3" t="inlineStr">
        <is>
          <t>설비자재</t>
        </is>
      </c>
      <c r="D2" s="3" t="inlineStr">
        <is>
          <t>standard</t>
        </is>
      </c>
      <c r="E2" s="3" t="n">
        <v>15000</v>
      </c>
      <c r="F2" s="3" t="n">
        <v>8000</v>
      </c>
      <c r="G2" s="3" t="b">
        <v>1</v>
      </c>
      <c r="H2" s="3" t="inlineStr">
        <is>
          <t>toilet_replace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31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technician_id</t>
        </is>
      </c>
      <c r="B1" s="4" t="inlineStr">
        <is>
          <t>name_masked</t>
        </is>
      </c>
      <c r="C1" s="4" t="inlineStr">
        <is>
          <t>phone_masked</t>
        </is>
      </c>
      <c r="D1" s="4" t="inlineStr">
        <is>
          <t>region</t>
        </is>
      </c>
      <c r="E1" s="4" t="inlineStr">
        <is>
          <t>type</t>
        </is>
      </c>
      <c r="F1" s="4" t="inlineStr">
        <is>
          <t>grade</t>
        </is>
      </c>
      <c r="G1" s="4" t="inlineStr">
        <is>
          <t>skills</t>
        </is>
      </c>
      <c r="H1" s="4" t="inlineStr">
        <is>
          <t>avg_nps</t>
        </is>
      </c>
      <c r="I1" s="4" t="inlineStr">
        <is>
          <t>pass_rate</t>
        </is>
      </c>
      <c r="J1" s="4" t="inlineStr">
        <is>
          <t>is_active</t>
        </is>
      </c>
    </row>
    <row r="2">
      <c r="A2" s="3" t="inlineStr">
        <is>
          <t>TECH-0001</t>
        </is>
      </c>
      <c r="B2" s="3" t="inlineStr">
        <is>
          <t>김**</t>
        </is>
      </c>
      <c r="C2" s="3" t="inlineStr">
        <is>
          <t>010-1234-****</t>
        </is>
      </c>
      <c r="D2" s="3" t="inlineStr">
        <is>
          <t>수원·용인</t>
        </is>
      </c>
      <c r="E2" s="3" t="inlineStr">
        <is>
          <t>contractor</t>
        </is>
      </c>
      <c r="F2" s="3" t="inlineStr">
        <is>
          <t>silver</t>
        </is>
      </c>
      <c r="G2" s="3" t="inlineStr">
        <is>
          <t>toilet_replace,faucet_replace</t>
        </is>
      </c>
      <c r="H2" s="3" t="n">
        <v>9.1</v>
      </c>
      <c r="I2" s="3" t="n">
        <v>98</v>
      </c>
      <c r="J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5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standardizable</t>
        </is>
      </c>
      <c r="D1" s="4" t="inlineStr">
        <is>
          <t>description</t>
        </is>
      </c>
    </row>
    <row r="2">
      <c r="A2" s="3" t="inlineStr">
        <is>
          <t>toilet_replace</t>
        </is>
      </c>
      <c r="B2" s="3" t="inlineStr">
        <is>
          <t>양변기 교체</t>
        </is>
      </c>
      <c r="C2" s="3" t="b">
        <v>1</v>
      </c>
      <c r="D2" s="3" t="inlineStr">
        <is>
          <t>정찰가형 교체 서비스</t>
        </is>
      </c>
    </row>
    <row r="3">
      <c r="A3" s="3" t="inlineStr">
        <is>
          <t>faucet_replace</t>
        </is>
      </c>
      <c r="B3" s="3" t="inlineStr">
        <is>
          <t>수전 교체</t>
        </is>
      </c>
      <c r="C3" s="3" t="b">
        <v>1</v>
      </c>
      <c r="D3" s="3" t="inlineStr">
        <is>
          <t>싱크대/세면대 수전 교체</t>
        </is>
      </c>
    </row>
    <row r="4">
      <c r="A4" s="3" t="inlineStr">
        <is>
          <t>drain_clog</t>
        </is>
      </c>
      <c r="B4" s="3" t="inlineStr">
        <is>
          <t>하수구 막힘</t>
        </is>
      </c>
      <c r="C4" s="3" t="b">
        <v>0</v>
      </c>
      <c r="D4" s="3" t="inlineStr">
        <is>
          <t>상담형 현장 확인 서비스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description</t>
        </is>
      </c>
    </row>
    <row r="2">
      <c r="A2" s="3" t="inlineStr">
        <is>
          <t>instagram</t>
        </is>
      </c>
      <c r="B2" s="3" t="inlineStr">
        <is>
          <t>인스타그램 광고</t>
        </is>
      </c>
      <c r="C2" s="3" t="inlineStr">
        <is>
          <t>유료 소셜 유입</t>
        </is>
      </c>
    </row>
    <row r="3">
      <c r="A3" s="3" t="inlineStr">
        <is>
          <t>kakao</t>
        </is>
      </c>
      <c r="B3" s="3" t="inlineStr">
        <is>
          <t>카카오 상담</t>
        </is>
      </c>
      <c r="C3" s="3" t="inlineStr">
        <is>
          <t>카카오 채널 1:1 상담</t>
        </is>
      </c>
    </row>
    <row r="4">
      <c r="A4" s="3" t="inlineStr">
        <is>
          <t>web</t>
        </is>
      </c>
      <c r="B4" s="3" t="inlineStr">
        <is>
          <t>웹 주문</t>
        </is>
      </c>
      <c r="C4" s="3" t="inlineStr">
        <is>
          <t>홈페이지 직접 주문</t>
        </is>
      </c>
    </row>
    <row r="5">
      <c r="A5" s="3" t="inlineStr">
        <is>
          <t>phone</t>
        </is>
      </c>
      <c r="B5" s="3" t="inlineStr">
        <is>
          <t>전화</t>
        </is>
      </c>
      <c r="C5" s="3" t="inlineStr">
        <is>
          <t>전화 상담/접수</t>
        </is>
      </c>
    </row>
    <row r="6">
      <c r="A6" s="3" t="inlineStr">
        <is>
          <t>offline</t>
        </is>
      </c>
      <c r="B6" s="3" t="inlineStr">
        <is>
          <t>오프라인</t>
        </is>
      </c>
      <c r="C6" s="3" t="inlineStr">
        <is>
          <t>소개/전단/현장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description</t>
        </is>
      </c>
    </row>
    <row r="2">
      <c r="A2" s="3" t="inlineStr">
        <is>
          <t>suwon_toilet_fixed_price</t>
        </is>
      </c>
      <c r="B2" s="3" t="inlineStr">
        <is>
          <t>수원 양변기 교체 정찰가</t>
        </is>
      </c>
      <c r="C2" s="3" t="inlineStr">
        <is>
          <t>인스타/웹 정찰가 캠페인</t>
        </is>
      </c>
    </row>
    <row r="3">
      <c r="A3" s="3" t="inlineStr">
        <is>
          <t>photo_diagnosis</t>
        </is>
      </c>
      <c r="B3" s="3" t="inlineStr">
        <is>
          <t>사진 판정</t>
        </is>
      </c>
      <c r="C3" s="3" t="inlineStr">
        <is>
          <t>사진 3장 선판정 캠페인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description</t>
        </is>
      </c>
    </row>
    <row r="2">
      <c r="A2" s="3" t="inlineStr">
        <is>
          <t>suwon_yeongtong</t>
        </is>
      </c>
      <c r="B2" s="3" t="inlineStr">
        <is>
          <t>수원 영통구</t>
        </is>
      </c>
      <c r="C2" s="3" t="inlineStr">
        <is>
          <t>영통·광교·망포</t>
        </is>
      </c>
    </row>
    <row r="3">
      <c r="A3" s="3" t="inlineStr">
        <is>
          <t>yongin_suji</t>
        </is>
      </c>
      <c r="B3" s="3" t="inlineStr">
        <is>
          <t>용인 수지구</t>
        </is>
      </c>
      <c r="C3" s="3" t="inlineStr">
        <is>
          <t>상현·성복·풍덕천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4" t="inlineStr">
        <is>
          <t>angle</t>
        </is>
      </c>
      <c r="B1" s="4" t="inlineStr">
        <is>
          <t>label</t>
        </is>
      </c>
      <c r="C1" s="4" t="inlineStr">
        <is>
          <t>owner</t>
        </is>
      </c>
      <c r="D1" s="4" t="inlineStr">
        <is>
          <t>description</t>
        </is>
      </c>
    </row>
    <row r="2">
      <c r="A2" s="3" t="inlineStr">
        <is>
          <t>wide</t>
        </is>
      </c>
      <c r="B2" s="3" t="inlineStr">
        <is>
          <t>전체 컷</t>
        </is>
      </c>
      <c r="C2" s="3" t="inlineStr">
        <is>
          <t>customer</t>
        </is>
      </c>
      <c r="D2" s="3" t="inlineStr">
        <is>
          <t>설치 위치와 주변 전체</t>
        </is>
      </c>
    </row>
    <row r="3">
      <c r="A3" s="3" t="inlineStr">
        <is>
          <t>close</t>
        </is>
      </c>
      <c r="B3" s="3" t="inlineStr">
        <is>
          <t>문제 부위</t>
        </is>
      </c>
      <c r="C3" s="3" t="inlineStr">
        <is>
          <t>customer</t>
        </is>
      </c>
      <c r="D3" s="3" t="inlineStr">
        <is>
          <t>파손/누수/오작동 부위 클로즈업</t>
        </is>
      </c>
    </row>
    <row r="4">
      <c r="A4" s="3" t="inlineStr">
        <is>
          <t>context</t>
        </is>
      </c>
      <c r="B4" s="3" t="inlineStr">
        <is>
          <t>주변·규격</t>
        </is>
      </c>
      <c r="C4" s="3" t="inlineStr">
        <is>
          <t>customer</t>
        </is>
      </c>
      <c r="D4" s="3" t="inlineStr">
        <is>
          <t>배관/벽/바닥/규격 정보</t>
        </is>
      </c>
    </row>
    <row r="5">
      <c r="A5" s="3" t="inlineStr">
        <is>
          <t>before</t>
        </is>
      </c>
      <c r="B5" s="3" t="inlineStr">
        <is>
          <t>시공 전</t>
        </is>
      </c>
      <c r="C5" s="3" t="inlineStr">
        <is>
          <t>technician</t>
        </is>
      </c>
      <c r="D5" s="3" t="inlineStr">
        <is>
          <t>작업 전 상태</t>
        </is>
      </c>
    </row>
    <row r="6">
      <c r="A6" s="3" t="inlineStr">
        <is>
          <t>during</t>
        </is>
      </c>
      <c r="B6" s="3" t="inlineStr">
        <is>
          <t>작업 중</t>
        </is>
      </c>
      <c r="C6" s="3" t="inlineStr">
        <is>
          <t>technician</t>
        </is>
      </c>
      <c r="D6" s="3" t="inlineStr">
        <is>
          <t>철거/설치 중 핵심 장면</t>
        </is>
      </c>
    </row>
    <row r="7">
      <c r="A7" s="3" t="inlineStr">
        <is>
          <t>after</t>
        </is>
      </c>
      <c r="B7" s="3" t="inlineStr">
        <is>
          <t>완료 후</t>
        </is>
      </c>
      <c r="C7" s="3" t="inlineStr">
        <is>
          <t>technician</t>
        </is>
      </c>
      <c r="D7" s="3" t="inlineStr">
        <is>
          <t>완료 전체/마감</t>
        </is>
      </c>
    </row>
    <row r="8">
      <c r="A8" s="3" t="inlineStr">
        <is>
          <t>material</t>
        </is>
      </c>
      <c r="B8" s="3" t="inlineStr">
        <is>
          <t>자재</t>
        </is>
      </c>
      <c r="C8" s="3" t="inlineStr">
        <is>
          <t>technician</t>
        </is>
      </c>
      <c r="D8" s="3" t="inlineStr">
        <is>
          <t>사용 자재/영수증</t>
        </is>
      </c>
    </row>
    <row r="9">
      <c r="A9" s="3" t="inlineStr">
        <is>
          <t>issue</t>
        </is>
      </c>
      <c r="B9" s="3" t="inlineStr">
        <is>
          <t>이슈</t>
        </is>
      </c>
      <c r="C9" s="3" t="inlineStr">
        <is>
          <t>technician</t>
        </is>
      </c>
      <c r="D9" s="3" t="inlineStr">
        <is>
          <t>추가 비용/파손/특이사항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</cols>
  <sheetData>
    <row r="1">
      <c r="A1" s="4" t="inlineStr">
        <is>
          <t>지표</t>
        </is>
      </c>
      <c r="B1" s="4" t="inlineStr">
        <is>
          <t>값</t>
        </is>
      </c>
      <c r="C1" s="4" t="inlineStr">
        <is>
          <t>설명</t>
        </is>
      </c>
    </row>
    <row r="2">
      <c r="A2" s="3" t="inlineStr">
        <is>
          <t>주문 수</t>
        </is>
      </c>
      <c r="B2" s="3">
        <f>COUNTA(orders!A2:A500)</f>
        <v/>
      </c>
      <c r="C2" s="3" t="inlineStr">
        <is>
          <t>orders 기준</t>
        </is>
      </c>
    </row>
    <row r="3">
      <c r="A3" s="3" t="inlineStr">
        <is>
          <t>결제 완료</t>
        </is>
      </c>
      <c r="B3" s="3">
        <f>COUNTIF(payments!H2:H500,"done")</f>
        <v/>
      </c>
      <c r="C3" s="3" t="inlineStr">
        <is>
          <t>payments.status=done</t>
        </is>
      </c>
    </row>
    <row r="4">
      <c r="A4" s="3" t="inlineStr">
        <is>
          <t>사진 수집</t>
        </is>
      </c>
      <c r="B4" s="3">
        <f>COUNTA(media!A2:A500)</f>
        <v/>
      </c>
      <c r="C4" s="3" t="inlineStr">
        <is>
          <t>media 기준</t>
        </is>
      </c>
    </row>
    <row r="5">
      <c r="A5" s="3" t="inlineStr">
        <is>
          <t>검수 통과</t>
        </is>
      </c>
      <c r="B5" s="3">
        <f>COUNTIF(inspections!E2:E500,TRUE)</f>
        <v/>
      </c>
      <c r="C5" s="3" t="inlineStr">
        <is>
          <t>inspections.passed</t>
        </is>
      </c>
    </row>
    <row r="6">
      <c r="A6" s="3" t="inlineStr">
        <is>
          <t>알림 대기</t>
        </is>
      </c>
      <c r="B6" s="3">
        <f>COUNTIF(notification_queue!H2:H500,"queued")</f>
        <v/>
      </c>
      <c r="C6" s="3" t="inlineStr">
        <is>
          <t>notification_queue.status=queued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2026-05-18T02:07:59Z</dcterms:created>
  <dcterms:modified xmlns:dcterms="http://purl.org/dc/terms/" xmlns:xsi="http://www.w3.org/2001/XMLSchema-instance" xsi:type="dcterms:W3CDTF">2026-05-18T02:07:59Z</dcterms:modified>
</cp:coreProperties>
</file>